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02ebfc936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une 2026" sheetId="1" r:id="R07faa868ac3e4c35"/>
    <x:sheet xmlns:r="http://schemas.openxmlformats.org/officeDocument/2006/relationships" name="Summary" sheetId="2" r:id="Rd2005b0a51354cf5"/>
    <x:sheet xmlns:r="http://schemas.openxmlformats.org/officeDocument/2006/relationships" name="Audit" sheetId="3" r:id="R277025bf087f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b6e7522cc94b68" /><Relationship Type="http://schemas.openxmlformats.org/officeDocument/2006/relationships/theme" Target="/xl/theme/theme1.xml" Id="R04ed9d32ab8b4627" /><Relationship Type="http://schemas.openxmlformats.org/officeDocument/2006/relationships/sharedStrings" Target="/xl/sharedStrings.xml" Id="R1ef2feaa79e54417" /><Relationship Type="http://schemas.openxmlformats.org/officeDocument/2006/relationships/worksheet" Target="/xl/worksheets/sheet1.xml" Id="R07faa868ac3e4c35" /><Relationship Type="http://schemas.openxmlformats.org/officeDocument/2006/relationships/worksheet" Target="/xl/worksheets/sheet2.xml" Id="Rd2005b0a51354cf5" /><Relationship Type="http://schemas.openxmlformats.org/officeDocument/2006/relationships/worksheet" Target="/xl/worksheets/sheet3.xml" Id="R277025bf087f41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99c4ac5e46442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June 2026 Disposition Mix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'Summary'!$D$4:$D$7</c:f>
              <c:strCache>
                <c:ptCount val="0"/>
              </c:strCache>
            </c:strRef>
          </c:cat>
          <c:val>
            <c:numRef>
              <c:f>'Summary'!$E$4:$E$7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99c4ac5e46442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une2026Table" displayName="June2026Table" ref="A1:I25" headerRowCount="1" totalsRowCount="0" totalsRowShown="0">
  <x:tableColumns count="9">
    <x:tableColumn id="1" name="Suit"/>
    <x:tableColumn id="2" name="Filed"/>
    <x:tableColumn id="3" name="Judgment Date"/>
    <x:tableColumn id="4" name="Posture at Disposal"/>
    <x:tableColumn id="5" name="Result / Basis"/>
    <x:tableColumn id="6" name="Disposition Class"/>
    <x:tableColumn id="7" name="Bilateral Merits Adjudication?"/>
    <x:tableColumn id="8" name="Fully Contested Core Merits?"/>
    <x:tableColumn id="9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uneAuditTable" displayName="JuneAuditTable" ref="A1:D4" headerRowCount="1" totalsRowCount="0" totalsRowShown="0">
  <x:tableColumns count="4">
    <x:tableColumn id="1" name="Item"/>
    <x:tableColumn id="2" name="Status"/>
    <x:tableColumn id="3" name="Reason"/>
    <x:tableColumn id="4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d3c40520c843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0ac14fe6e5243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93876d6ed54c7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5" hidden="0" customWidth="1"/>
    <x:col min="4" max="4" width="44" hidden="0" customWidth="1"/>
    <x:col min="5" max="5" width="50" hidden="0" customWidth="1"/>
    <x:col min="6" max="6" width="30" hidden="0" customWidth="1"/>
    <x:col min="7" max="7" width="24" hidden="0" customWidth="1"/>
    <x:col min="8" max="8" width="24" hidden="0" customWidth="1"/>
    <x:col min="9" max="9" width="38" hidden="0" customWidth="1"/>
  </x:cols>
  <x:sheetData>
    <x:row r="1" ht="32" customHeight="1">
      <x:c r="A1" s="6" t="str">
        <x:v>Suit</x:v>
      </x:c>
      <x:c r="B1" s="6" t="str">
        <x:v>Filed</x:v>
      </x:c>
      <x:c r="C1" s="6" t="str">
        <x:v>Judgment Date</x:v>
      </x:c>
      <x:c r="D1" s="6" t="str">
        <x:v>Posture at Disposal</x:v>
      </x:c>
      <x:c r="E1" s="6" t="str">
        <x:v>Result / Basis</x:v>
      </x:c>
      <x:c r="F1" s="6" t="str">
        <x:v>Disposition Class</x:v>
      </x:c>
      <x:c r="G1" s="6" t="str">
        <x:v>Bilateral Merits Adjudication?</x:v>
      </x:c>
      <x:c r="H1" s="6" t="str">
        <x:v>Fully Contested Core Merits?</x:v>
      </x:c>
      <x:c r="I1" s="6" t="str">
        <x:v>Source</x:v>
      </x:c>
    </x:row>
    <x:row r="2" ht="60" customHeight="1">
      <x:c r="A2" s="14" t="str">
        <x:v>OS 25/2025</x:v>
      </x:c>
      <x:c r="B2" s="14" t="str">
        <x:v>20.01.2025</x:v>
      </x:c>
      <x:c r="C2" s="14" t="str">
        <x:v>01.06.2026</x:v>
      </x:c>
      <x:c r="D2" s="14" t="str">
        <x:v>Defendant entered appearance but failed to file written statement and was set ex parte</x:v>
      </x:c>
      <x:c r="E2" s="14" t="str">
        <x:v>Money decree for ₹1,08,169 with interest/costs; claimed property charge refused</x:v>
      </x:c>
      <x:c r="F2" s="14" t="str">
        <x:v>Ex-parte / unopposed merits</x:v>
      </x:c>
      <x:c r="G2" s="14" t="str">
        <x:v>No</x:v>
      </x:c>
      <x:c r="H2" s="14" t="str">
        <x:v>No</x:v>
      </x:c>
      <x:c r="I2" s="14" t="str">
        <x:v>Unknown-2(6).pdf</x:v>
      </x:c>
    </x:row>
    <x:row r="3" ht="60" customHeight="1">
      <x:c r="A3" s="14" t="str">
        <x:v>OS 11/2025</x:v>
      </x:c>
      <x:c r="B3" s="14" t="str">
        <x:v>13.01.2025</x:v>
      </x:c>
      <x:c r="C3" s="14" t="str">
        <x:v>01.06.2026</x:v>
      </x:c>
      <x:c r="D3" s="14" t="str">
        <x:v>Defendant failed to enter appearance and was set ex parte</x:v>
      </x:c>
      <x:c r="E3" s="14" t="str">
        <x:v>Money decree for ₹1,55,947 with interest/costs; claimed property charge refused</x:v>
      </x:c>
      <x:c r="F3" s="14" t="str">
        <x:v>Ex-parte / unopposed merits</x:v>
      </x:c>
      <x:c r="G3" s="14" t="str">
        <x:v>No</x:v>
      </x:c>
      <x:c r="H3" s="14" t="str">
        <x:v>No</x:v>
      </x:c>
      <x:c r="I3" s="14" t="str">
        <x:v>Unknown-3(5).pdf</x:v>
      </x:c>
    </x:row>
    <x:row r="4" ht="60" customHeight="1">
      <x:c r="A4" s="14" t="str">
        <x:v>OS 30/2025</x:v>
      </x:c>
      <x:c r="B4" s="14" t="str">
        <x:v>24.01.2025</x:v>
      </x:c>
      <x:c r="C4" s="14" t="str">
        <x:v>01.06.2026</x:v>
      </x:c>
      <x:c r="D4" s="14" t="str">
        <x:v>Plaintiff represented; defendant ex parte</x:v>
      </x:c>
      <x:c r="E4" s="14" t="str">
        <x:v>Plaint rejected under Order VII Rule 11 CPC because balance court fee not paid</x:v>
      </x:c>
      <x:c r="F4" s="14" t="str">
        <x:v>Procedural closure</x:v>
      </x:c>
      <x:c r="G4" s="14" t="str">
        <x:v>No</x:v>
      </x:c>
      <x:c r="H4" s="14" t="str">
        <x:v>No</x:v>
      </x:c>
      <x:c r="I4" s="14" t="str">
        <x:v>Unknown(4).pdf</x:v>
      </x:c>
    </x:row>
    <x:row r="5" ht="60" customHeight="1">
      <x:c r="A5" s="14" t="str">
        <x:v>OS 373/2025</x:v>
      </x:c>
      <x:c r="B5" s="14" t="str">
        <x:v>30.10.2025</x:v>
      </x:c>
      <x:c r="C5" s="14" t="str">
        <x:v>02.06.2026</x:v>
      </x:c>
      <x:c r="D5" s="14" t="str">
        <x:v>Plaintiff absent with no representation; defendant ex parte</x:v>
      </x:c>
      <x:c r="E5" s="14" t="str">
        <x:v>Plaint rejected under Order VII Rule 11 CPC because balance court fee was not remitted</x:v>
      </x:c>
      <x:c r="F5" s="14" t="str">
        <x:v>Procedural closure</x:v>
      </x:c>
      <x:c r="G5" s="14" t="str">
        <x:v>No</x:v>
      </x:c>
      <x:c r="H5" s="14" t="str">
        <x:v>No</x:v>
      </x:c>
      <x:c r="I5" s="14" t="str">
        <x:v>Unknown-4(5).pdf</x:v>
      </x:c>
    </x:row>
    <x:row r="6" ht="60" customHeight="1">
      <x:c r="A6" s="14" t="str">
        <x:v>OS 221/2024</x:v>
      </x:c>
      <x:c r="B6" s="14" t="str">
        <x:v>29.07.2024</x:v>
      </x:c>
      <x:c r="C6" s="14" t="str">
        <x:v>03.06.2026</x:v>
      </x:c>
      <x:c r="D6" s="14" t="str">
        <x:v>Plaintiff represented; D1 ex parte</x:v>
      </x:c>
      <x:c r="E6" s="14" t="str">
        <x:v>Dismissed as not pressed on plaintiff memo</x:v>
      </x:c>
      <x:c r="F6" s="14" t="str">
        <x:v>Procedural closure</x:v>
      </x:c>
      <x:c r="G6" s="14" t="str">
        <x:v>No</x:v>
      </x:c>
      <x:c r="H6" s="14" t="str">
        <x:v>No</x:v>
      </x:c>
      <x:c r="I6" s="14" t="str">
        <x:v>Unknown-5(5).pdf</x:v>
      </x:c>
    </x:row>
    <x:row r="7" ht="60" customHeight="1">
      <x:c r="A7" s="14" t="str">
        <x:v>OS 183/2024</x:v>
      </x:c>
      <x:c r="B7" s="14" t="str">
        <x:v>26.06.2024</x:v>
      </x:c>
      <x:c r="C7" s="14" t="str">
        <x:v>06.06.2026</x:v>
      </x:c>
      <x:c r="D7" s="14" t="str">
        <x:v>Defendant entered appearance but failed to file written statement and was set ex parte</x:v>
      </x:c>
      <x:c r="E7" s="14" t="str">
        <x:v>Money decree for ₹5,00,000 with interest/costs; claimed property charge refused</x:v>
      </x:c>
      <x:c r="F7" s="14" t="str">
        <x:v>Ex-parte / unopposed merits</x:v>
      </x:c>
      <x:c r="G7" s="14" t="str">
        <x:v>No</x:v>
      </x:c>
      <x:c r="H7" s="14" t="str">
        <x:v>No</x:v>
      </x:c>
      <x:c r="I7" s="14" t="str">
        <x:v>Unknown-6(5).pdf</x:v>
      </x:c>
    </x:row>
    <x:row r="8" ht="60" customHeight="1">
      <x:c r="A8" s="14" t="str">
        <x:v>OS 73/2024</x:v>
      </x:c>
      <x:c r="B8" s="14" t="str">
        <x:v>29.02.2024</x:v>
      </x:c>
      <x:c r="C8" s="14" t="str">
        <x:v>06.06.2026</x:v>
      </x:c>
      <x:c r="D8" s="14" t="str">
        <x:v>Both sides represented; matter settled in mediation</x:v>
      </x:c>
      <x:c r="E8" s="14" t="str">
        <x:v>Decreed in terms of mediation agreement; no costs</x:v>
      </x:c>
      <x:c r="F8" s="14" t="str">
        <x:v>Settlement / consent decree</x:v>
      </x:c>
      <x:c r="G8" s="14" t="str">
        <x:v>No</x:v>
      </x:c>
      <x:c r="H8" s="14" t="str">
        <x:v>No</x:v>
      </x:c>
      <x:c r="I8" s="14" t="str">
        <x:v>Unknown-7(4).pdf</x:v>
      </x:c>
    </x:row>
    <x:row r="9" ht="60" customHeight="1">
      <x:c r="A9" s="14" t="str">
        <x:v>OS 150/2026</x:v>
      </x:c>
      <x:c r="B9" s="14" t="str">
        <x:v>01.06.2026</x:v>
      </x:c>
      <x:c r="C9" s="14" t="str">
        <x:v>08.06.2026</x:v>
      </x:c>
      <x:c r="D9" s="14" t="str">
        <x:v>Case suo motu advanced; plaintiff represented</x:v>
      </x:c>
      <x:c r="E9" s="14" t="str">
        <x:v>Dismissed as not pressed on memo</x:v>
      </x:c>
      <x:c r="F9" s="14" t="str">
        <x:v>Procedural closure</x:v>
      </x:c>
      <x:c r="G9" s="14" t="str">
        <x:v>No</x:v>
      </x:c>
      <x:c r="H9" s="14" t="str">
        <x:v>No</x:v>
      </x:c>
      <x:c r="I9" s="14" t="str">
        <x:v>Unknown-8(4).pdf</x:v>
      </x:c>
    </x:row>
    <x:row r="10" ht="60" customHeight="1">
      <x:c r="A10" s="14" t="str">
        <x:v>OS 263/2024</x:v>
      </x:c>
      <x:c r="B10" s="14" t="str">
        <x:v>04.09.2024</x:v>
      </x:c>
      <x:c r="C10" s="14" t="str">
        <x:v>10.06.2026</x:v>
      </x:c>
      <x:c r="D10" s="14" t="str">
        <x:v>Both sides represented</x:v>
      </x:c>
      <x:c r="E10" s="14" t="str">
        <x:v>Dismissed as not pressed on plaintiff counsel submission/endorsement</x:v>
      </x:c>
      <x:c r="F10" s="14" t="str">
        <x:v>Procedural closure</x:v>
      </x:c>
      <x:c r="G10" s="14" t="str">
        <x:v>No</x:v>
      </x:c>
      <x:c r="H10" s="14" t="str">
        <x:v>No</x:v>
      </x:c>
      <x:c r="I10" s="14" t="str">
        <x:v>Unknown-9(4).pdf</x:v>
      </x:c>
    </x:row>
    <x:row r="11" ht="60" customHeight="1">
      <x:c r="A11" s="14" t="str">
        <x:v>OS 94/2025</x:v>
      </x:c>
      <x:c r="B11" s="14" t="str">
        <x:v>20.03.2025</x:v>
      </x:c>
      <x:c r="C11" s="14" t="str">
        <x:v>11.06.2026</x:v>
      </x:c>
      <x:c r="D11" s="14" t="str">
        <x:v>Plaintiff and defendants represented by counsel</x:v>
      </x:c>
      <x:c r="E11" s="14" t="str">
        <x:v>Dismissed as not pressed on plaintiff counsel memo</x:v>
      </x:c>
      <x:c r="F11" s="14" t="str">
        <x:v>Procedural closure</x:v>
      </x:c>
      <x:c r="G11" s="14" t="str">
        <x:v>No</x:v>
      </x:c>
      <x:c r="H11" s="14" t="str">
        <x:v>No</x:v>
      </x:c>
      <x:c r="I11" s="14" t="str">
        <x:v>Unknown-10(4).pdf</x:v>
      </x:c>
    </x:row>
    <x:row r="12" ht="60" customHeight="1">
      <x:c r="A12" s="14" t="str">
        <x:v>OS 246/2025</x:v>
      </x:c>
      <x:c r="B12" s="14" t="str">
        <x:v>09.07.2025</x:v>
      </x:c>
      <x:c r="C12" s="14" t="str">
        <x:v>17.06.2026</x:v>
      </x:c>
      <x:c r="D12" s="14" t="str">
        <x:v>Both sides represented</x:v>
      </x:c>
      <x:c r="E12" s="14" t="str">
        <x:v>Plaint rejected under Order VII Rule 11 CPC because balance court fee was not paid</x:v>
      </x:c>
      <x:c r="F12" s="14" t="str">
        <x:v>Procedural closure</x:v>
      </x:c>
      <x:c r="G12" s="14" t="str">
        <x:v>No</x:v>
      </x:c>
      <x:c r="H12" s="14" t="str">
        <x:v>No</x:v>
      </x:c>
      <x:c r="I12" s="14" t="str">
        <x:v>Unknown-11(4).pdf</x:v>
      </x:c>
    </x:row>
    <x:row r="13" ht="60" customHeight="1">
      <x:c r="A13" s="14" t="str">
        <x:v>OS 261/2025</x:v>
      </x:c>
      <x:c r="B13" s="14" t="str">
        <x:v>29.07.2025</x:v>
      </x:c>
      <x:c r="C13" s="14" t="str">
        <x:v>18.06.2026</x:v>
      </x:c>
      <x:c r="D13" s="14" t="str">
        <x:v>Plaintiff represented; defendant ex parte</x:v>
      </x:c>
      <x:c r="E13" s="14" t="str">
        <x:v>Plaint rejected under Order VII Rule 11 CPC; BCF unpaid and evidence not adduced despite repeated opportunities</x:v>
      </x:c>
      <x:c r="F13" s="14" t="str">
        <x:v>Procedural closure</x:v>
      </x:c>
      <x:c r="G13" s="14" t="str">
        <x:v>No</x:v>
      </x:c>
      <x:c r="H13" s="14" t="str">
        <x:v>No</x:v>
      </x:c>
      <x:c r="I13" s="14" t="str">
        <x:v>Unknown-12(4).pdf</x:v>
      </x:c>
    </x:row>
    <x:row r="14" ht="60" customHeight="1">
      <x:c r="A14" s="14" t="str">
        <x:v>OS 39/2026</x:v>
      </x:c>
      <x:c r="B14" s="14" t="str">
        <x:v>03.02.2026</x:v>
      </x:c>
      <x:c r="C14" s="14" t="str">
        <x:v>18.06.2026</x:v>
      </x:c>
      <x:c r="D14" s="14" t="str">
        <x:v>Defendant failed to appear and was set ex parte</x:v>
      </x:c>
      <x:c r="E14" s="14" t="str">
        <x:v>Specific performance decreed on unchallenged agreement/proof; balance consideration ordered deposited</x:v>
      </x:c>
      <x:c r="F14" s="14" t="str">
        <x:v>Ex-parte / unopposed merits</x:v>
      </x:c>
      <x:c r="G14" s="14" t="str">
        <x:v>No</x:v>
      </x:c>
      <x:c r="H14" s="14" t="str">
        <x:v>No</x:v>
      </x:c>
      <x:c r="I14" s="14" t="str">
        <x:v>Unknown-13(4).pdf</x:v>
      </x:c>
    </x:row>
    <x:row r="15" ht="60" customHeight="1">
      <x:c r="A15" s="14" t="str">
        <x:v>OS 130/2024</x:v>
      </x:c>
      <x:c r="B15" s="14" t="str">
        <x:v>12.04.2024</x:v>
      </x:c>
      <x:c r="C15" s="14" t="str">
        <x:v>18.06.2026</x:v>
      </x:c>
      <x:c r="D15" s="14" t="str">
        <x:v>Defendant entered appearance but failed to file written statement and was set ex parte</x:v>
      </x:c>
      <x:c r="E15" s="14" t="str">
        <x:v>Preliminary partition decree and injunction on unchallenged evidence; standing-tree aspect not proved</x:v>
      </x:c>
      <x:c r="F15" s="14" t="str">
        <x:v>Ex-parte / unopposed merits</x:v>
      </x:c>
      <x:c r="G15" s="14" t="str">
        <x:v>No</x:v>
      </x:c>
      <x:c r="H15" s="14" t="str">
        <x:v>No</x:v>
      </x:c>
      <x:c r="I15" s="14" t="str">
        <x:v>Unknown-14(5).pdf</x:v>
      </x:c>
    </x:row>
    <x:row r="16" ht="60" customHeight="1">
      <x:c r="A16" s="14" t="str">
        <x:v>OS 379/2024</x:v>
      </x:c>
      <x:c r="B16" s="14" t="str">
        <x:v>12.12.2024</x:v>
      </x:c>
      <x:c r="C16" s="14" t="str">
        <x:v>22.06.2026</x:v>
      </x:c>
      <x:c r="D16" s="14" t="str">
        <x:v>Defendant failed to enter appearance and was set ex parte</x:v>
      </x:c>
      <x:c r="E16" s="14" t="str">
        <x:v>Bank money decree for ₹3,07,074 with interest and costs on unchallenged evidence</x:v>
      </x:c>
      <x:c r="F16" s="14" t="str">
        <x:v>Ex-parte / unopposed merits</x:v>
      </x:c>
      <x:c r="G16" s="14" t="str">
        <x:v>No</x:v>
      </x:c>
      <x:c r="H16" s="14" t="str">
        <x:v>No</x:v>
      </x:c>
      <x:c r="I16" s="14" t="str">
        <x:v>Unknown-15(4).pdf</x:v>
      </x:c>
    </x:row>
    <x:row r="17" ht="60" customHeight="1">
      <x:c r="A17" s="14" t="str">
        <x:v>OS 224/2025</x:v>
      </x:c>
      <x:c r="B17" s="14" t="str">
        <x:v>20.06.2025</x:v>
      </x:c>
      <x:c r="C17" s="14" t="str">
        <x:v>22.06.2026</x:v>
      </x:c>
      <x:c r="D17" s="14" t="str">
        <x:v>Defendant failed to appear and was set ex parte</x:v>
      </x:c>
      <x:c r="E17" s="14" t="str">
        <x:v>Advance-money decree on unchallenged evidence; claimed 12% interest reduced to 9% until decree</x:v>
      </x:c>
      <x:c r="F17" s="14" t="str">
        <x:v>Ex-parte / unopposed merits</x:v>
      </x:c>
      <x:c r="G17" s="14" t="str">
        <x:v>No</x:v>
      </x:c>
      <x:c r="H17" s="14" t="str">
        <x:v>No</x:v>
      </x:c>
      <x:c r="I17" s="14" t="str">
        <x:v>Unknown-16(5).pdf</x:v>
      </x:c>
    </x:row>
    <x:row r="18" ht="60" customHeight="1">
      <x:c r="A18" s="14" t="str">
        <x:v>OS 230/2024</x:v>
      </x:c>
      <x:c r="B18" s="14" t="str">
        <x:v>08.08.2024</x:v>
      </x:c>
      <x:c r="C18" s="14" t="str">
        <x:v>24.06.2026</x:v>
      </x:c>
      <x:c r="D18" s="14" t="str">
        <x:v>Plaintiff represented; D1 ex parte</x:v>
      </x:c>
      <x:c r="E18" s="14" t="str">
        <x:v>Dismissed as not pressed on counsel memo</x:v>
      </x:c>
      <x:c r="F18" s="14" t="str">
        <x:v>Procedural closure</x:v>
      </x:c>
      <x:c r="G18" s="14" t="str">
        <x:v>No</x:v>
      </x:c>
      <x:c r="H18" s="14" t="str">
        <x:v>No</x:v>
      </x:c>
      <x:c r="I18" s="14" t="str">
        <x:v>Unknown-17(4).pdf / duplicate Unknown-18(3).pdf</x:v>
      </x:c>
    </x:row>
    <x:row r="19" ht="60" customHeight="1">
      <x:c r="A19" s="14" t="str">
        <x:v>OS 328/2025</x:v>
      </x:c>
      <x:c r="B19" s="14" t="str">
        <x:v>22.09.2025</x:v>
      </x:c>
      <x:c r="C19" s="14" t="str">
        <x:v>27.06.2026</x:v>
      </x:c>
      <x:c r="D19" s="14" t="str">
        <x:v>Plaintiff repeatedly absent with no representation; defendant ex parte</x:v>
      </x:c>
      <x:c r="E19" s="14" t="str">
        <x:v>Dismissed for default</x:v>
      </x:c>
      <x:c r="F19" s="14" t="str">
        <x:v>Procedural closure</x:v>
      </x:c>
      <x:c r="G19" s="14" t="str">
        <x:v>No</x:v>
      </x:c>
      <x:c r="H19" s="14" t="str">
        <x:v>No</x:v>
      </x:c>
      <x:c r="I19" s="14" t="str">
        <x:v>Unknown-19(3).pdf</x:v>
      </x:c>
    </x:row>
    <x:row r="20" ht="60" customHeight="1">
      <x:c r="A20" s="14" t="str">
        <x:v>OS 363/2024</x:v>
      </x:c>
      <x:c r="B20" s="14" t="str">
        <x:v>05.12.2024</x:v>
      </x:c>
      <x:c r="C20" s="14" t="str">
        <x:v>27.06.2026</x:v>
      </x:c>
      <x:c r="D20" s="14" t="str">
        <x:v>Plaintiff represented but not ready for evidence despite repeated opportunities; defendants ex parte</x:v>
      </x:c>
      <x:c r="E20" s="14" t="str">
        <x:v>Dismissed for default</x:v>
      </x:c>
      <x:c r="F20" s="14" t="str">
        <x:v>Procedural closure</x:v>
      </x:c>
      <x:c r="G20" s="14" t="str">
        <x:v>No</x:v>
      </x:c>
      <x:c r="H20" s="14" t="str">
        <x:v>No</x:v>
      </x:c>
      <x:c r="I20" s="14" t="str">
        <x:v>Unknown-20(3).pdf</x:v>
      </x:c>
    </x:row>
    <x:row r="21" ht="60" customHeight="1">
      <x:c r="A21" s="14" t="str">
        <x:v>OS 329/2024</x:v>
      </x:c>
      <x:c r="B21" s="14" t="str">
        <x:v>11.11.2024</x:v>
      </x:c>
      <x:c r="C21" s="14" t="str">
        <x:v>29.06.2026</x:v>
      </x:c>
      <x:c r="D21" s="14" t="str">
        <x:v>Plaintiff absent but represented; evidence not adduced despite repeated opportunities; defendants ex parte</x:v>
      </x:c>
      <x:c r="E21" s="14" t="str">
        <x:v>Dismissed for default; court found plaintiff not interested in proceeding</x:v>
      </x:c>
      <x:c r="F21" s="14" t="str">
        <x:v>Procedural closure</x:v>
      </x:c>
      <x:c r="G21" s="14" t="str">
        <x:v>No</x:v>
      </x:c>
      <x:c r="H21" s="14" t="str">
        <x:v>No</x:v>
      </x:c>
      <x:c r="I21" s="14" t="str">
        <x:v>Unknown-21(2).pdf</x:v>
      </x:c>
    </x:row>
    <x:row r="22" ht="60" customHeight="1">
      <x:c r="A22" s="14" t="str">
        <x:v>OS 225/2025</x:v>
      </x:c>
      <x:c r="B22" s="14" t="str">
        <x:v>21.06.2025</x:v>
      </x:c>
      <x:c r="C22" s="14" t="str">
        <x:v>29.06.2026</x:v>
      </x:c>
      <x:c r="D22" s="14" t="str">
        <x:v>Defendant failed to appear and was set ex parte</x:v>
      </x:c>
      <x:c r="E22" s="14" t="str">
        <x:v>Title declared and mandatory injunction to execute rectification deed granted on unchallenged evidence</x:v>
      </x:c>
      <x:c r="F22" s="14" t="str">
        <x:v>Ex-parte / unopposed merits</x:v>
      </x:c>
      <x:c r="G22" s="14" t="str">
        <x:v>No</x:v>
      </x:c>
      <x:c r="H22" s="14" t="str">
        <x:v>No</x:v>
      </x:c>
      <x:c r="I22" s="14" t="str">
        <x:v>Unknown-22(1).pdf</x:v>
      </x:c>
    </x:row>
    <x:row r="23" ht="60" customHeight="1">
      <x:c r="A23" s="14" t="str">
        <x:v>OS 110/2024</x:v>
      </x:c>
      <x:c r="B23" s="14" t="str">
        <x:v>03.04.2024</x:v>
      </x:c>
      <x:c r="C23" s="14" t="str">
        <x:v>30.06.2026</x:v>
      </x:c>
      <x:c r="D23" s="14" t="str">
        <x:v>Case advanced; both sides represented</x:v>
      </x:c>
      <x:c r="E23" s="14" t="str">
        <x:v>Dismissed as not pressed on plaintiff memo</x:v>
      </x:c>
      <x:c r="F23" s="14" t="str">
        <x:v>Procedural closure</x:v>
      </x:c>
      <x:c r="G23" s="14" t="str">
        <x:v>No</x:v>
      </x:c>
      <x:c r="H23" s="14" t="str">
        <x:v>No</x:v>
      </x:c>
      <x:c r="I23" s="14" t="str">
        <x:v>Unknown-23(1).pdf</x:v>
      </x:c>
    </x:row>
    <x:row r="24" ht="60" customHeight="1">
      <x:c r="A24" s="14" t="str">
        <x:v>OS 106/2025</x:v>
      </x:c>
      <x:c r="B24" s="14" t="str">
        <x:v>25.03.2025</x:v>
      </x:c>
      <x:c r="C24" s="14" t="str">
        <x:v>30.06.2026</x:v>
      </x:c>
      <x:c r="D24" s="14" t="str">
        <x:v>Defendant entered appearance but failed to file written statement and was set ex parte</x:v>
      </x:c>
      <x:c r="E24" s="14" t="str">
        <x:v>Money decree for ₹2,00,000; claimed 12% interest reduced to 8%</x:v>
      </x:c>
      <x:c r="F24" s="14" t="str">
        <x:v>Ex-parte / unopposed merits</x:v>
      </x:c>
      <x:c r="G24" s="14" t="str">
        <x:v>No</x:v>
      </x:c>
      <x:c r="H24" s="14" t="str">
        <x:v>No</x:v>
      </x:c>
      <x:c r="I24" s="14" t="str">
        <x:v>Unknown-24(1).pdf</x:v>
      </x:c>
    </x:row>
    <x:row r="25" ht="60" customHeight="1">
      <x:c r="A25" s="14" t="str">
        <x:v>OS 238/2025</x:v>
      </x:c>
      <x:c r="B25" s="14" t="str">
        <x:v>01.07.2025</x:v>
      </x:c>
      <x:c r="C25" s="14" t="str">
        <x:v>30.06.2026</x:v>
      </x:c>
      <x:c r="D25" s="14" t="str">
        <x:v>Defendant entered appearance but failed to file written statement and was set ex parte</x:v>
      </x:c>
      <x:c r="E25" s="14" t="str">
        <x:v>Title declared; mandatory vacant-possession and prohibitory injunctions granted on unchallenged evidence</x:v>
      </x:c>
      <x:c r="F25" s="14" t="str">
        <x:v>Ex-parte / unopposed merits</x:v>
      </x:c>
      <x:c r="G25" s="14" t="str">
        <x:v>No</x:v>
      </x:c>
      <x:c r="H25" s="14" t="str">
        <x:v>No</x:v>
      </x:c>
      <x:c r="I25" s="14" t="str">
        <x:v>Unknown-25(1).pdf</x:v>
      </x:c>
    </x:row>
  </x:sheetData>
  <x:conditionalFormatting sqref="F2:F25">
    <x:cfRule type="expression" dxfId="0" priority="1">
      <x:formula>F2="Ex-parte / unopposed merits"</x:formula>
    </x:cfRule>
    <x:cfRule type="expression" dxfId="1" priority="2">
      <x:formula>F2="Procedural closure"</x:formula>
    </x:cfRule>
    <x:cfRule type="expression" dxfId="2" priority="3">
      <x:formula>F2="Settlement / consent decree"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dd3c40520c843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9" hidden="0" customWidth="1"/>
    <x:col min="5" max="5" width="12" hidden="0" customWidth="1"/>
    <x:col min="6" max="6" width="22" hidden="0" customWidth="1"/>
  </x:cols>
  <x:sheetData>
    <x:row r="1" ht="30" customHeight="1">
      <x:c r="A1" s="18" t="str">
        <x:v>Munsiff Disposal Pattern — June 2026 (Updated)</x:v>
      </x:c>
      <x:c r="B1" s="18"/>
      <x:c r="C1" s="18"/>
      <x:c r="D1" s="18"/>
      <x:c r="E1" s="18"/>
      <x:c r="F1" s="18"/>
    </x:row>
    <x:row r="3">
      <x:c r="A3" s="24" t="str">
        <x:v>Metric</x:v>
      </x:c>
      <x:c r="B3" s="24" t="str">
        <x:v>Count</x:v>
      </x:c>
      <x:c r="D3" s="23" t="str">
        <x:v>Disposition class</x:v>
      </x:c>
      <x:c r="E3" s="23" t="str">
        <x:v>Count</x:v>
      </x:c>
    </x:row>
    <x:row r="4">
      <x:c r="A4" t="str">
        <x:v>Unique O.S. judgments reviewed</x:v>
      </x:c>
      <x:c r="B4" t="n">
        <x:f>COUNTA('June 2026'!A2:A25)</x:f>
        <x:v>24</x:v>
      </x:c>
      <x:c r="D4" t="str">
        <x:v>Ex-parte / unopposed merits</x:v>
      </x:c>
      <x:c r="E4" t="n">
        <x:f>B5</x:f>
        <x:v>10</x:v>
      </x:c>
    </x:row>
    <x:row r="5">
      <x:c r="A5" t="str">
        <x:v>Ex-parte / unopposed merits</x:v>
      </x:c>
      <x:c r="B5" t="n">
        <x:f>COUNTIF('June 2026'!F2:F25,"Ex-parte / unopposed merits")</x:f>
        <x:v>10</x:v>
      </x:c>
      <x:c r="D5" t="str">
        <x:v>Procedural closures</x:v>
      </x:c>
      <x:c r="E5" t="n">
        <x:f>B6</x:f>
        <x:v>13</x:v>
      </x:c>
    </x:row>
    <x:row r="6">
      <x:c r="A6" t="str">
        <x:v>Procedural closures</x:v>
      </x:c>
      <x:c r="B6" t="n">
        <x:f>COUNTIF('June 2026'!F2:F25,"Procedural closure")</x:f>
        <x:v>13</x:v>
      </x:c>
      <x:c r="D6" t="str">
        <x:v>Settlement / consent</x:v>
      </x:c>
      <x:c r="E6" t="n">
        <x:f>B7</x:f>
        <x:v>1</x:v>
      </x:c>
    </x:row>
    <x:row r="7">
      <x:c r="A7" t="str">
        <x:v>Settlement / consent decrees</x:v>
      </x:c>
      <x:c r="B7" t="n">
        <x:f>COUNTIF('June 2026'!F2:F25,"Settlement / consent decree")</x:f>
        <x:v>1</x:v>
      </x:c>
      <x:c r="D7" t="str">
        <x:v>Bilateral contested merits</x:v>
      </x:c>
      <x:c r="E7" t="n">
        <x:f>B8</x:f>
        <x:v>0</x:v>
      </x:c>
    </x:row>
    <x:row r="8">
      <x:c r="A8" t="str">
        <x:v>Bilateral contested-merits judgments</x:v>
      </x:c>
      <x:c r="B8" t="n">
        <x:f>COUNTIF('June 2026'!G2:G25,"Yes")</x:f>
        <x:v>0</x:v>
      </x:c>
    </x:row>
    <x:row r="9">
      <x:c r="A9" t="str">
        <x:v>Fully contested core-merits judgments</x:v>
      </x:c>
      <x:c r="B9" t="n">
        <x:f>COUNTIF('June 2026'!H2:H25,"Yes")</x:f>
        <x:v>0</x:v>
      </x:c>
    </x:row>
    <x:row r="11">
      <x:c r="A11" s="34" t="str">
        <x:v>Assessment</x:v>
      </x:c>
      <x:c r="B11" s="34"/>
      <x:c r="C11" s="34"/>
      <x:c r="D11" s="34"/>
      <x:c r="E11" s="34"/>
      <x:c r="F11" s="34"/>
    </x:row>
    <x:row r="12" ht="58" customHeight="1">
      <x:c r="A12" s="35" t="str">
        <x:v>Observed pattern</x:v>
      </x:c>
      <x:c r="B12" s="14" t="str">
        <x:v>All 24 unique June O.S. judgments were disposed without a live bilateral merits contest: 10 ex-parte/unopposed merits, 13 procedural closures, and 1 mediation/consent decree.</x:v>
      </x:c>
      <x:c r="C12" s="14" t="str"/>
      <x:c r="D12" s="14" t="str"/>
      <x:c r="E12" s="14" t="str"/>
      <x:c r="F12" s="14" t="str"/>
    </x:row>
    <x:row r="13" ht="58" customHeight="1">
      <x:c r="A13" s="35" t="str">
        <x:v>Substantive evaluation within ex-parte cases</x:v>
      </x:c>
      <x:c r="B13" s="14" t="str">
        <x:v>Ex-parte judgments still show judicial evaluation: charges/parts of relief were refused or interest reduced in multiple cases; therefore the defensible statistic is 0 bilateral contested-merits judgments, not 0 application of mind.</x:v>
      </x:c>
      <x:c r="C13" s="14" t="str"/>
      <x:c r="D13" s="14" t="str"/>
      <x:c r="E13" s="14" t="str"/>
      <x:c r="F13" s="14" t="str"/>
    </x:row>
    <x:row r="14" ht="58" customHeight="1">
      <x:c r="A14" s="35" t="str">
        <x:v>Strongest defensible metric</x:v>
      </x:c>
      <x:c r="B14" s="14" t="str">
        <x:v>June 2026: 24 unique O.S. judgments; 0 bilateral contested-merits judgments and 0 fully contested core-merits judgments.</x:v>
      </x:c>
      <x:c r="C14" s="14" t="str"/>
      <x:c r="D14" s="14" t="str"/>
      <x:c r="E14" s="14" t="str"/>
      <x:c r="F14" s="14" t="str"/>
    </x:row>
    <x:row r="15" ht="58" customHeight="1">
      <x:c r="A15" s="35" t="str">
        <x:v>Upload audit</x:v>
      </x:c>
      <x:c r="B15" s="14" t="str">
        <x:v>25 June PDFs reviewed: 24 unique O.S. judgments + 1 duplicate upload (OS 230/2024).</x:v>
      </x:c>
      <x:c r="C15" s="14" t="str"/>
      <x:c r="D15" s="14" t="str"/>
      <x:c r="E15" s="14" t="str"/>
      <x:c r="F15" s="14" t="str"/>
    </x:row>
  </x:sheetData>
  <x:mergeCells>
    <x:mergeCell ref="A1:F1"/>
    <x:mergeCell ref="A11:F11"/>
    <x:mergeCell ref="B12:F12"/>
    <x:mergeCell ref="B13:F13"/>
    <x:mergeCell ref="B14:F14"/>
    <x:mergeCell ref="B15:F15"/>
  </x:mergeCells>
  <x:pageMargins left="0.7" right="0.7" top="0.75" bottom="0.75" header="0.3" footer="0.3"/>
  <x:drawing xmlns:r="http://schemas.openxmlformats.org/officeDocument/2006/relationships" r:id="Rc0ac14fe6e5243fc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50" hidden="0" customWidth="1"/>
    <x:col min="4" max="4" width="40" hidden="0" customWidth="1"/>
  </x:cols>
  <x:sheetData>
    <x:row r="1">
      <x:c r="A1" s="40" t="str">
        <x:v>Item</x:v>
      </x:c>
      <x:c r="B1" s="40" t="str">
        <x:v>Status</x:v>
      </x:c>
      <x:c r="C1" s="40" t="str">
        <x:v>Reason</x:v>
      </x:c>
      <x:c r="D1" s="40" t="str">
        <x:v>Source</x:v>
      </x:c>
    </x:row>
    <x:row r="2" ht="42" customHeight="1">
      <x:c r="A2" s="14" t="str">
        <x:v>OS 230/2024</x:v>
      </x:c>
      <x:c r="B2" s="14" t="str">
        <x:v>Duplicate upload</x:v>
      </x:c>
      <x:c r="C2" s="14" t="str">
        <x:v>Same judgment appears twice</x:v>
      </x:c>
      <x:c r="D2" s="14" t="str">
        <x:v>Unknown-17(4).pdf and Unknown-18(3).pdf</x:v>
      </x:c>
    </x:row>
    <x:row r="3" ht="42" customHeight="1">
      <x:c r="A3" s="14" t="str">
        <x:v>June upload set</x:v>
      </x:c>
      <x:c r="B3" s="14" t="str">
        <x:v>25 PDFs reviewed</x:v>
      </x:c>
      <x:c r="C3" s="14" t="str">
        <x:v>24 unique included O.S. judgments + 1 duplicate</x:v>
      </x:c>
      <x:c r="D3" s="14" t="str">
        <x:v>All June uploads</x:v>
      </x:c>
    </x:row>
    <x:row r="4" ht="42" customHeight="1">
      <x:c r="A4" s="14" t="str">
        <x:v>June O.S. sample</x:v>
      </x:c>
      <x:c r="B4" s="14" t="str">
        <x:v>24 unique judgments</x:v>
      </x:c>
      <x:c r="C4" s="14" t="str">
        <x:v>Deduplicated and limited to O.S. judgments pronounced in June 2026</x:v>
      </x:c>
      <x:c r="D4" s="14" t="str">
        <x:v>All June uploads</x:v>
      </x:c>
    </x:row>
  </x:sheetData>
  <x:pageMargins left="0.7" right="0.7" top="0.75" bottom="0.75" header="0.3" footer="0.3"/>
  <x:tableParts count="1">
    <x:tablePart xmlns:r="http://schemas.openxmlformats.org/officeDocument/2006/relationships" r:id="Rd593876d6ed54c74"/>
  </x:tableParts>
</x:worksheet>
</file>