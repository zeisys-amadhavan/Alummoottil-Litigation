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9d7be56ced41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nuary 2026" sheetId="1" r:id="R72e28bf930eb4500"/>
    <x:sheet xmlns:r="http://schemas.openxmlformats.org/officeDocument/2006/relationships" name="Summary" sheetId="2" r:id="Raaee4b306d044bd6"/>
    <x:sheet xmlns:r="http://schemas.openxmlformats.org/officeDocument/2006/relationships" name="Audit" sheetId="3" r:id="Rec83463e628748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930cb1abb04f31" /><Relationship Type="http://schemas.openxmlformats.org/officeDocument/2006/relationships/theme" Target="/xl/theme/theme1.xml" Id="R8c4bc50934424255" /><Relationship Type="http://schemas.openxmlformats.org/officeDocument/2006/relationships/sharedStrings" Target="/xl/sharedStrings.xml" Id="R98f75bd806e94a75" /><Relationship Type="http://schemas.openxmlformats.org/officeDocument/2006/relationships/worksheet" Target="/xl/worksheets/sheet1.xml" Id="R72e28bf930eb4500" /><Relationship Type="http://schemas.openxmlformats.org/officeDocument/2006/relationships/worksheet" Target="/xl/worksheets/sheet2.xml" Id="Raaee4b306d044bd6" /><Relationship Type="http://schemas.openxmlformats.org/officeDocument/2006/relationships/worksheet" Target="/xl/worksheets/sheet3.xml" Id="Rec83463e628748a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85fe8e4ab09415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January 2026 Disposition Mix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'Summary'!$D$4:$D$7</c:f>
              <c:strCache>
                <c:ptCount val="0"/>
              </c:strCache>
            </c:strRef>
          </c:cat>
          <c:val>
            <c:numRef>
              <c:f>'Summary'!$E$4:$E$7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85fe8e4ab09415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January2026Table" displayName="January2026Table" ref="A1:I21" headerRowCount="1" totalsRowCount="0" totalsRowShown="0">
  <x:tableColumns count="9">
    <x:tableColumn id="1" name="Suit"/>
    <x:tableColumn id="2" name="Filed"/>
    <x:tableColumn id="3" name="Judgment Date"/>
    <x:tableColumn id="4" name="Posture at Disposal"/>
    <x:tableColumn id="5" name="Result / Basis"/>
    <x:tableColumn id="6" name="Disposition Class"/>
    <x:tableColumn id="7" name="Bilateral Merits Adjudication?"/>
    <x:tableColumn id="8" name="Fully Contested Core Merits?"/>
    <x:tableColumn id="9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JanuaryAuditTable" displayName="JanuaryAuditTable" ref="A1:D8" headerRowCount="1" totalsRowCount="0" totalsRowShown="0">
  <x:tableColumns count="4">
    <x:tableColumn id="1" name="Item"/>
    <x:tableColumn id="2" name="Status"/>
    <x:tableColumn id="3" name="Reason"/>
    <x:tableColumn id="4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1f7cbfb4b6455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009a7f8a57748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c8eaccea594f77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5" hidden="0" customWidth="1"/>
    <x:col min="4" max="4" width="43" hidden="0" customWidth="1"/>
    <x:col min="5" max="5" width="45" hidden="0" customWidth="1"/>
    <x:col min="6" max="6" width="32" hidden="0" customWidth="1"/>
    <x:col min="7" max="7" width="24" hidden="0" customWidth="1"/>
    <x:col min="8" max="8" width="24" hidden="0" customWidth="1"/>
    <x:col min="9" max="9" width="34" hidden="0" customWidth="1"/>
  </x:cols>
  <x:sheetData>
    <x:row r="1" ht="32" customHeight="1">
      <x:c r="A1" s="6" t="str">
        <x:v>Suit</x:v>
      </x:c>
      <x:c r="B1" s="6" t="str">
        <x:v>Filed</x:v>
      </x:c>
      <x:c r="C1" s="6" t="str">
        <x:v>Judgment Date</x:v>
      </x:c>
      <x:c r="D1" s="6" t="str">
        <x:v>Posture at Disposal</x:v>
      </x:c>
      <x:c r="E1" s="6" t="str">
        <x:v>Result / Basis</x:v>
      </x:c>
      <x:c r="F1" s="6" t="str">
        <x:v>Disposition Class</x:v>
      </x:c>
      <x:c r="G1" s="6" t="str">
        <x:v>Bilateral Merits Adjudication?</x:v>
      </x:c>
      <x:c r="H1" s="6" t="str">
        <x:v>Fully Contested Core Merits?</x:v>
      </x:c>
      <x:c r="I1" s="6" t="str">
        <x:v>Source</x:v>
      </x:c>
    </x:row>
    <x:row r="2" ht="60" customHeight="1">
      <x:c r="A2" s="14" t="str">
        <x:v>OS 112/2024</x:v>
      </x:c>
      <x:c r="B2" s="14" t="str">
        <x:v>04.04.2024</x:v>
      </x:c>
      <x:c r="C2" s="14" t="str">
        <x:v>03.01.2026</x:v>
      </x:c>
      <x:c r="D2" s="14" t="str">
        <x:v>Defendants filed written statement, then failed to appear when listed for evidence and were set ex parte</x:v>
      </x:c>
      <x:c r="E2" s="14" t="str">
        <x:v>Absolute ownership declared and mandatory injunction granted on unchallenged evidence; separate declaration of death refused</x:v>
      </x:c>
      <x:c r="F2" s="14" t="str">
        <x:v>Ex-parte / unopposed merits</x:v>
      </x:c>
      <x:c r="G2" s="14" t="str">
        <x:v>No</x:v>
      </x:c>
      <x:c r="H2" s="14" t="str">
        <x:v>No</x:v>
      </x:c>
      <x:c r="I2" s="14" t="str">
        <x:v>Unknown-2(4).pdf</x:v>
      </x:c>
    </x:row>
    <x:row r="3" ht="60" customHeight="1">
      <x:c r="A3" s="14" t="str">
        <x:v>OS 109/2025</x:v>
      </x:c>
      <x:c r="B3" s="14" t="str">
        <x:v>27.03.2025</x:v>
      </x:c>
      <x:c r="C3" s="14" t="str">
        <x:v>08.01.2026</x:v>
      </x:c>
      <x:c r="D3" s="14" t="str">
        <x:v>Both sides represented; mediation agreement filed</x:v>
      </x:c>
      <x:c r="E3" s="14" t="str">
        <x:v>Decreed in terms of mediation agreement; no costs</x:v>
      </x:c>
      <x:c r="F3" s="14" t="str">
        <x:v>Settlement / consent decree</x:v>
      </x:c>
      <x:c r="G3" s="14" t="str">
        <x:v>No</x:v>
      </x:c>
      <x:c r="H3" s="14" t="str">
        <x:v>No</x:v>
      </x:c>
      <x:c r="I3" s="14" t="str">
        <x:v>Unknown-3(3).pdf</x:v>
      </x:c>
    </x:row>
    <x:row r="4" ht="60" customHeight="1">
      <x:c r="A4" s="14" t="str">
        <x:v>OS 310/2024</x:v>
      </x:c>
      <x:c r="B4" s="14" t="str">
        <x:v>24.10.2024</x:v>
      </x:c>
      <x:c r="C4" s="14" t="str">
        <x:v>16.01.2026</x:v>
      </x:c>
      <x:c r="D4" s="14" t="str">
        <x:v>Plaintiff represented; defendants set ex parte</x:v>
      </x:c>
      <x:c r="E4" s="14" t="str">
        <x:v>Dismissed as not pressed on plaintiff memo</x:v>
      </x:c>
      <x:c r="F4" s="14" t="str">
        <x:v>Procedural closure</x:v>
      </x:c>
      <x:c r="G4" s="14" t="str">
        <x:v>No</x:v>
      </x:c>
      <x:c r="H4" s="14" t="str">
        <x:v>No</x:v>
      </x:c>
      <x:c r="I4" s="14" t="str">
        <x:v>Unknown-5(3).pdf</x:v>
      </x:c>
    </x:row>
    <x:row r="5" ht="60" customHeight="1">
      <x:c r="A5" s="14" t="str">
        <x:v>OS 161/2025</x:v>
      </x:c>
      <x:c r="B5" s="14" t="str">
        <x:v>20.05.2025</x:v>
      </x:c>
      <x:c r="C5" s="14" t="str">
        <x:v>16.01.2026</x:v>
      </x:c>
      <x:c r="D5" s="14" t="str">
        <x:v>Plaintiff represented; defendant set ex parte</x:v>
      </x:c>
      <x:c r="E5" s="14" t="str">
        <x:v>Dismissed as not pressed on counsel submission/endorsement</x:v>
      </x:c>
      <x:c r="F5" s="14" t="str">
        <x:v>Procedural closure</x:v>
      </x:c>
      <x:c r="G5" s="14" t="str">
        <x:v>No</x:v>
      </x:c>
      <x:c r="H5" s="14" t="str">
        <x:v>No</x:v>
      </x:c>
      <x:c r="I5" s="14" t="str">
        <x:v>Unknown-6(3).pdf / duplicate Unknown-7(2).pdf</x:v>
      </x:c>
    </x:row>
    <x:row r="6" ht="60" customHeight="1">
      <x:c r="A6" s="14" t="str">
        <x:v>OS 177/2024</x:v>
      </x:c>
      <x:c r="B6" s="14" t="str">
        <x:v>18.06.2024</x:v>
      </x:c>
      <x:c r="C6" s="14" t="str">
        <x:v>17.01.2026</x:v>
      </x:c>
      <x:c r="D6" s="14" t="str">
        <x:v>D1-D2 entered appearance but filed no written statement and were set ex parte; suit abated against deceased D3</x:v>
      </x:c>
      <x:c r="E6" s="14" t="str">
        <x:v>Permanent prohibitory injunction decreed on unchallenged evidence</x:v>
      </x:c>
      <x:c r="F6" s="14" t="str">
        <x:v>Ex-parte / unopposed merits</x:v>
      </x:c>
      <x:c r="G6" s="14" t="str">
        <x:v>No</x:v>
      </x:c>
      <x:c r="H6" s="14" t="str">
        <x:v>No</x:v>
      </x:c>
      <x:c r="I6" s="14" t="str">
        <x:v>Unknown-8(2).pdf</x:v>
      </x:c>
    </x:row>
    <x:row r="7" ht="60" customHeight="1">
      <x:c r="A7" s="14" t="str">
        <x:v>OS 221/2025</x:v>
      </x:c>
      <x:c r="B7" s="14" t="str">
        <x:v>18.06.2025</x:v>
      </x:c>
      <x:c r="C7" s="14" t="str">
        <x:v>17.01.2026</x:v>
      </x:c>
      <x:c r="D7" s="14" t="str">
        <x:v>Defendant failed to appear and was set ex parte</x:v>
      </x:c>
      <x:c r="E7" s="14" t="str">
        <x:v>Money decree for ₹2,05,081 with interest and costs on unchallenged evidence</x:v>
      </x:c>
      <x:c r="F7" s="14" t="str">
        <x:v>Ex-parte / unopposed merits</x:v>
      </x:c>
      <x:c r="G7" s="14" t="str">
        <x:v>No</x:v>
      </x:c>
      <x:c r="H7" s="14" t="str">
        <x:v>No</x:v>
      </x:c>
      <x:c r="I7" s="14" t="str">
        <x:v>Unknown-9(2).pdf</x:v>
      </x:c>
    </x:row>
    <x:row r="8" ht="60" customHeight="1">
      <x:c r="A8" s="14" t="str">
        <x:v>OS 15/2024</x:v>
      </x:c>
      <x:c r="B8" s="14" t="str">
        <x:v>10.01.2024</x:v>
      </x:c>
      <x:c r="C8" s="14" t="str">
        <x:v>22.01.2026</x:v>
      </x:c>
      <x:c r="D8" s="14" t="str">
        <x:v>Plaintiff represented; defendants set ex parte</x:v>
      </x:c>
      <x:c r="E8" s="14" t="str">
        <x:v>Plaint rejected under Order VII Rule 11 CPC because balance court fee was not paid</x:v>
      </x:c>
      <x:c r="F8" s="14" t="str">
        <x:v>Procedural closure</x:v>
      </x:c>
      <x:c r="G8" s="14" t="str">
        <x:v>No</x:v>
      </x:c>
      <x:c r="H8" s="14" t="str">
        <x:v>No</x:v>
      </x:c>
      <x:c r="I8" s="14" t="str">
        <x:v>Unknown-10(2).pdf / duplicate Unknown-11(2).pdf</x:v>
      </x:c>
    </x:row>
    <x:row r="9" ht="60" customHeight="1">
      <x:c r="A9" s="14" t="str">
        <x:v>OS 123/2025</x:v>
      </x:c>
      <x:c r="B9" s="14" t="str">
        <x:v>05.04.2025</x:v>
      </x:c>
      <x:c r="C9" s="14" t="str">
        <x:v>23.01.2026</x:v>
      </x:c>
      <x:c r="D9" s="14" t="str">
        <x:v>Case advanced; both sides represented; matter settled</x:v>
      </x:c>
      <x:c r="E9" s="14" t="str">
        <x:v>Dismissed as not pressed on plaintiff memo</x:v>
      </x:c>
      <x:c r="F9" s="14" t="str">
        <x:v>Procedural closure</x:v>
      </x:c>
      <x:c r="G9" s="14" t="str">
        <x:v>No</x:v>
      </x:c>
      <x:c r="H9" s="14" t="str">
        <x:v>No</x:v>
      </x:c>
      <x:c r="I9" s="14" t="str">
        <x:v>Unknown-12(2).pdf</x:v>
      </x:c>
    </x:row>
    <x:row r="10" ht="60" customHeight="1">
      <x:c r="A10" s="14" t="str">
        <x:v>OS 197/2025</x:v>
      </x:c>
      <x:c r="B10" s="14" t="str">
        <x:v>05.06.2025</x:v>
      </x:c>
      <x:c r="C10" s="14" t="str">
        <x:v>23.01.2026</x:v>
      </x:c>
      <x:c r="D10" s="14" t="str">
        <x:v>Case advanced; both sides represented; matter settled</x:v>
      </x:c>
      <x:c r="E10" s="14" t="str">
        <x:v>Dismissed as not pressed on plaintiff memo</x:v>
      </x:c>
      <x:c r="F10" s="14" t="str">
        <x:v>Procedural closure</x:v>
      </x:c>
      <x:c r="G10" s="14" t="str">
        <x:v>No</x:v>
      </x:c>
      <x:c r="H10" s="14" t="str">
        <x:v>No</x:v>
      </x:c>
      <x:c r="I10" s="14" t="str">
        <x:v>Unknown-13(2).pdf</x:v>
      </x:c>
    </x:row>
    <x:row r="11" ht="60" customHeight="1">
      <x:c r="A11" s="14" t="str">
        <x:v>OS 148/2025</x:v>
      </x:c>
      <x:c r="B11" s="14" t="str">
        <x:v>10.04.2025</x:v>
      </x:c>
      <x:c r="C11" s="14" t="str">
        <x:v>27.01.2026</x:v>
      </x:c>
      <x:c r="D11" s="14" t="str">
        <x:v>Defendants failed to appear and were set ex parte</x:v>
      </x:c>
      <x:c r="E11" s="14" t="str">
        <x:v>Money decree for ₹3,85,880 with interest and costs on unchallenged evidence</x:v>
      </x:c>
      <x:c r="F11" s="14" t="str">
        <x:v>Ex-parte / unopposed merits</x:v>
      </x:c>
      <x:c r="G11" s="14" t="str">
        <x:v>No</x:v>
      </x:c>
      <x:c r="H11" s="14" t="str">
        <x:v>No</x:v>
      </x:c>
      <x:c r="I11" s="14" t="str">
        <x:v>Unknown-14(2).pdf</x:v>
      </x:c>
    </x:row>
    <x:row r="12" ht="60" customHeight="1">
      <x:c r="A12" s="14" t="str">
        <x:v>OS 150/2025</x:v>
      </x:c>
      <x:c r="B12" s="14" t="str">
        <x:v>11.04.2025</x:v>
      </x:c>
      <x:c r="C12" s="14" t="str">
        <x:v>27.01.2026</x:v>
      </x:c>
      <x:c r="D12" s="14" t="str">
        <x:v>Defendants failed to appear and were set ex parte</x:v>
      </x:c>
      <x:c r="E12" s="14" t="str">
        <x:v>Money decree for ₹1,99,208 with interest and costs on unchallenged evidence</x:v>
      </x:c>
      <x:c r="F12" s="14" t="str">
        <x:v>Ex-parte / unopposed merits</x:v>
      </x:c>
      <x:c r="G12" s="14" t="str">
        <x:v>No</x:v>
      </x:c>
      <x:c r="H12" s="14" t="str">
        <x:v>No</x:v>
      </x:c>
      <x:c r="I12" s="14" t="str">
        <x:v>Unknown-15(2).pdf / duplicate Unknown-16(2).pdf</x:v>
      </x:c>
    </x:row>
    <x:row r="13" ht="60" customHeight="1">
      <x:c r="A13" s="14" t="str">
        <x:v>OS 121/2024</x:v>
      </x:c>
      <x:c r="B13" s="14" t="str">
        <x:v>08.04.2024</x:v>
      </x:c>
      <x:c r="C13" s="14" t="str">
        <x:v>27.01.2026</x:v>
      </x:c>
      <x:c r="D13" s="14" t="str">
        <x:v>Defendant entered appearance but failed to file written statement and was set ex parte</x:v>
      </x:c>
      <x:c r="E13" s="14" t="str">
        <x:v>Money decree for ₹1,80,211 with interest and costs on unchallenged evidence</x:v>
      </x:c>
      <x:c r="F13" s="14" t="str">
        <x:v>Ex-parte / unopposed merits</x:v>
      </x:c>
      <x:c r="G13" s="14" t="str">
        <x:v>No</x:v>
      </x:c>
      <x:c r="H13" s="14" t="str">
        <x:v>No</x:v>
      </x:c>
      <x:c r="I13" s="14" t="str">
        <x:v>Unknown-17(2).pdf</x:v>
      </x:c>
    </x:row>
    <x:row r="14" ht="60" customHeight="1">
      <x:c r="A14" s="14" t="str">
        <x:v>OS 303/2024</x:v>
      </x:c>
      <x:c r="B14" s="14" t="str">
        <x:v>21.10.2024</x:v>
      </x:c>
      <x:c r="C14" s="14" t="str">
        <x:v>27.01.2026</x:v>
      </x:c>
      <x:c r="D14" s="14" t="str">
        <x:v>Defendant entered appearance but failed to file written statement and was set ex parte</x:v>
      </x:c>
      <x:c r="E14" s="14" t="str">
        <x:v>Money decree for ₹1,30,000 with interest and costs on unchallenged evidence</x:v>
      </x:c>
      <x:c r="F14" s="14" t="str">
        <x:v>Ex-parte / unopposed merits</x:v>
      </x:c>
      <x:c r="G14" s="14" t="str">
        <x:v>No</x:v>
      </x:c>
      <x:c r="H14" s="14" t="str">
        <x:v>No</x:v>
      </x:c>
      <x:c r="I14" s="14" t="str">
        <x:v>Unknown-18(1).pdf</x:v>
      </x:c>
    </x:row>
    <x:row r="15" ht="60" customHeight="1">
      <x:c r="A15" s="14" t="str">
        <x:v>OS 32/2025</x:v>
      </x:c>
      <x:c r="B15" s="14" t="str">
        <x:v>25.01.2025</x:v>
      </x:c>
      <x:c r="C15" s="14" t="str">
        <x:v>28.01.2026</x:v>
      </x:c>
      <x:c r="D15" s="14" t="str">
        <x:v>Case advanced; plaintiff represented; defendants represented; matter settled</x:v>
      </x:c>
      <x:c r="E15" s="14" t="str">
        <x:v>Dismissed as not pressed on memo</x:v>
      </x:c>
      <x:c r="F15" s="14" t="str">
        <x:v>Procedural closure</x:v>
      </x:c>
      <x:c r="G15" s="14" t="str">
        <x:v>No</x:v>
      </x:c>
      <x:c r="H15" s="14" t="str">
        <x:v>No</x:v>
      </x:c>
      <x:c r="I15" s="14" t="str">
        <x:v>Unknown-19(1).pdf</x:v>
      </x:c>
    </x:row>
    <x:row r="16" ht="60" customHeight="1">
      <x:c r="A16" s="14" t="str">
        <x:v>OS 431/2025</x:v>
      </x:c>
      <x:c r="B16" s="14" t="str">
        <x:v>15.12.2025</x:v>
      </x:c>
      <x:c r="C16" s="14" t="str">
        <x:v>29.01.2026</x:v>
      </x:c>
      <x:c r="D16" s="14" t="str">
        <x:v>Both sides represented; joint compromise filed</x:v>
      </x:c>
      <x:c r="E16" s="14" t="str">
        <x:v>Decreed in terms of compromise; no costs</x:v>
      </x:c>
      <x:c r="F16" s="14" t="str">
        <x:v>Settlement / consent decree</x:v>
      </x:c>
      <x:c r="G16" s="14" t="str">
        <x:v>No</x:v>
      </x:c>
      <x:c r="H16" s="14" t="str">
        <x:v>No</x:v>
      </x:c>
      <x:c r="I16" s="14" t="str">
        <x:v>Unknown-20(1).pdf</x:v>
      </x:c>
    </x:row>
    <x:row r="17" ht="60" customHeight="1">
      <x:c r="A17" s="14" t="str">
        <x:v>OS 205/2024</x:v>
      </x:c>
      <x:c r="B17" s="14" t="str">
        <x:v>10.07.2024</x:v>
      </x:c>
      <x:c r="C17" s="14" t="str">
        <x:v>30.01.2026</x:v>
      </x:c>
      <x:c r="D17" s="14" t="str">
        <x:v>Plaintiff repeatedly absent; represented; no evidence adduced; defendant set ex parte</x:v>
      </x:c>
      <x:c r="E17" s="14" t="str">
        <x:v>Dismissed for default; court found plaintiff not interested in adducing evidence</x:v>
      </x:c>
      <x:c r="F17" s="14" t="str">
        <x:v>Procedural closure</x:v>
      </x:c>
      <x:c r="G17" s="14" t="str">
        <x:v>No</x:v>
      </x:c>
      <x:c r="H17" s="14" t="str">
        <x:v>No</x:v>
      </x:c>
      <x:c r="I17" s="14" t="str">
        <x:v>Unknown-22.pdf</x:v>
      </x:c>
    </x:row>
    <x:row r="18" ht="60" customHeight="1">
      <x:c r="A18" s="14" t="str">
        <x:v>OS 342/2024</x:v>
      </x:c>
      <x:c r="B18" s="14" t="str">
        <x:v>20.11.2024</x:v>
      </x:c>
      <x:c r="C18" s="14" t="str">
        <x:v>30.01.2026</x:v>
      </x:c>
      <x:c r="D18" s="14" t="str">
        <x:v>Plaintiffs represented; defendants set ex parte</x:v>
      </x:c>
      <x:c r="E18" s="14" t="str">
        <x:v>Dismissed as not pressed on memo</x:v>
      </x:c>
      <x:c r="F18" s="14" t="str">
        <x:v>Procedural closure</x:v>
      </x:c>
      <x:c r="G18" s="14" t="str">
        <x:v>No</x:v>
      </x:c>
      <x:c r="H18" s="14" t="str">
        <x:v>No</x:v>
      </x:c>
      <x:c r="I18" s="14" t="str">
        <x:v>Unknown-23.pdf</x:v>
      </x:c>
    </x:row>
    <x:row r="19" ht="60" customHeight="1">
      <x:c r="A19" s="14" t="str">
        <x:v>OS 322/2014</x:v>
      </x:c>
      <x:c r="B19" s="14" t="str">
        <x:v>07.10.2014</x:v>
      </x:c>
      <x:c r="C19" s="14" t="str">
        <x:v>31.01.2026</x:v>
      </x:c>
      <x:c r="D19" s="14" t="str">
        <x:v>Both sides represented; joint compromise filed</x:v>
      </x:c>
      <x:c r="E19" s="14" t="str">
        <x:v>Decreed in terms of compromise; compromise and plan form part of decree</x:v>
      </x:c>
      <x:c r="F19" s="14" t="str">
        <x:v>Settlement / consent decree</x:v>
      </x:c>
      <x:c r="G19" s="14" t="str">
        <x:v>No</x:v>
      </x:c>
      <x:c r="H19" s="14" t="str">
        <x:v>No</x:v>
      </x:c>
      <x:c r="I19" s="14" t="str">
        <x:v>Unknown-24.pdf</x:v>
      </x:c>
    </x:row>
    <x:row r="20" ht="60" customHeight="1">
      <x:c r="A20" s="14" t="str">
        <x:v>OS 111/2025</x:v>
      </x:c>
      <x:c r="B20" s="14" t="str">
        <x:v>28.03.2025</x:v>
      </x:c>
      <x:c r="C20" s="14" t="str">
        <x:v>31.01.2026</x:v>
      </x:c>
      <x:c r="D20" s="14" t="str">
        <x:v>Case advanced; both sides represented; joint compromise filed</x:v>
      </x:c>
      <x:c r="E20" s="14" t="str">
        <x:v>Decreed in terms of compromise; no costs</x:v>
      </x:c>
      <x:c r="F20" s="14" t="str">
        <x:v>Settlement / consent decree</x:v>
      </x:c>
      <x:c r="G20" s="14" t="str">
        <x:v>No</x:v>
      </x:c>
      <x:c r="H20" s="14" t="str">
        <x:v>No</x:v>
      </x:c>
      <x:c r="I20" s="14" t="str">
        <x:v>Unknown-25.pdf</x:v>
      </x:c>
    </x:row>
    <x:row r="21" ht="60" customHeight="1">
      <x:c r="A21" s="14" t="str">
        <x:v>OS 406/2023</x:v>
      </x:c>
      <x:c r="B21" s="14" t="str">
        <x:v>24.11.2023</x:v>
      </x:c>
      <x:c r="C21" s="14" t="str">
        <x:v>31.01.2026</x:v>
      </x:c>
      <x:c r="D21" s="14" t="str">
        <x:v>Defendant filed written statement; both sides heard; defendant admitted Will, co-ownership and no objection to partition</x:v>
      </x:c>
      <x:c r="E21" s="14" t="str">
        <x:v>Preliminary partition decree for 1/2 share each; plaintiff's income claim refused for lack of evidence</x:v>
      </x:c>
      <x:c r="F21" s="14" t="str">
        <x:v>Bilateral merits — core substantially admitted</x:v>
      </x:c>
      <x:c r="G21" s="14" t="str">
        <x:v>Yes</x:v>
      </x:c>
      <x:c r="H21" s="14" t="str">
        <x:v>No</x:v>
      </x:c>
      <x:c r="I21" s="14" t="str">
        <x:v>Unknown-21(1).pdf</x:v>
      </x:c>
    </x:row>
  </x:sheetData>
  <x:conditionalFormatting sqref="F2:F21">
    <x:cfRule type="expression" dxfId="0" priority="1">
      <x:formula>F2="Ex-parte / unopposed merits"</x:formula>
    </x:cfRule>
    <x:cfRule type="expression" dxfId="1" priority="2">
      <x:formula>F2="Procedural closure"</x:formula>
    </x:cfRule>
    <x:cfRule type="expression" dxfId="2" priority="3">
      <x:formula>F2="Settlement / consent decree"</x:formula>
    </x:cfRule>
    <x:cfRule type="expression" dxfId="3" priority="4">
      <x:formula>F2="Bilateral merits — core substantially admitted"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41f7cbfb4b6455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2" hidden="0" customWidth="1"/>
    <x:col min="3" max="3" width="22" hidden="0" customWidth="1"/>
    <x:col min="4" max="4" width="29" hidden="0" customWidth="1"/>
    <x:col min="5" max="5" width="12" hidden="0" customWidth="1"/>
    <x:col min="6" max="6" width="22" hidden="0" customWidth="1"/>
  </x:cols>
  <x:sheetData>
    <x:row r="1" ht="30" customHeight="1">
      <x:c r="A1" s="18" t="str">
        <x:v>Munsiff Disposal Pattern — January 2026 (Updated)</x:v>
      </x:c>
      <x:c r="B1" s="18"/>
      <x:c r="C1" s="18"/>
      <x:c r="D1" s="18"/>
      <x:c r="E1" s="18"/>
      <x:c r="F1" s="18"/>
    </x:row>
    <x:row r="3">
      <x:c r="A3" s="28" t="str">
        <x:v>Metric</x:v>
      </x:c>
      <x:c r="B3" s="28" t="str">
        <x:v>Count</x:v>
      </x:c>
      <x:c r="D3" s="23" t="str">
        <x:v>Disposition class</x:v>
      </x:c>
      <x:c r="E3" s="23" t="str">
        <x:v>Count</x:v>
      </x:c>
    </x:row>
    <x:row r="4">
      <x:c r="A4" s="12" t="str">
        <x:v>Unique O.S. judgments reviewed</x:v>
      </x:c>
      <x:c r="B4" s="12" t="n">
        <x:f>COUNTA('January 2026'!A2:A21)</x:f>
        <x:v>20</x:v>
      </x:c>
      <x:c r="D4" t="str">
        <x:v>Ex-parte / unopposed merits</x:v>
      </x:c>
      <x:c r="E4" t="n">
        <x:f>B5</x:f>
        <x:v>7</x:v>
      </x:c>
    </x:row>
    <x:row r="5">
      <x:c r="A5" s="12" t="str">
        <x:v>Ex-parte / unopposed merits</x:v>
      </x:c>
      <x:c r="B5" s="12" t="n">
        <x:f>COUNTIF('January 2026'!F2:F21,"Ex-parte / unopposed merits")</x:f>
        <x:v>7</x:v>
      </x:c>
      <x:c r="D5" t="str">
        <x:v>Procedural closures</x:v>
      </x:c>
      <x:c r="E5" t="n">
        <x:f>B6</x:f>
        <x:v>8</x:v>
      </x:c>
    </x:row>
    <x:row r="6">
      <x:c r="A6" s="12" t="str">
        <x:v>Procedural closures</x:v>
      </x:c>
      <x:c r="B6" s="12" t="n">
        <x:f>COUNTIF('January 2026'!F2:F21,"Procedural closure")</x:f>
        <x:v>8</x:v>
      </x:c>
      <x:c r="D6" t="str">
        <x:v>Settlement / consent</x:v>
      </x:c>
      <x:c r="E6" t="n">
        <x:f>B7</x:f>
        <x:v>4</x:v>
      </x:c>
    </x:row>
    <x:row r="7">
      <x:c r="A7" s="12" t="str">
        <x:v>Settlement / consent decrees</x:v>
      </x:c>
      <x:c r="B7" s="12" t="n">
        <x:f>COUNTIF('January 2026'!F2:F21,"Settlement / consent decree")</x:f>
        <x:v>4</x:v>
      </x:c>
      <x:c r="D7" t="str">
        <x:v>Bilateral merits</x:v>
      </x:c>
      <x:c r="E7" t="n">
        <x:f>B8</x:f>
        <x:v>1</x:v>
      </x:c>
    </x:row>
    <x:row r="8">
      <x:c r="A8" s="12" t="str">
        <x:v>Bilateral merits judgments</x:v>
      </x:c>
      <x:c r="B8" s="12" t="n">
        <x:f>COUNTIF('January 2026'!G2:G21,"Yes")</x:f>
        <x:v>1</x:v>
      </x:c>
    </x:row>
    <x:row r="9">
      <x:c r="A9" s="12" t="str">
        <x:v>Fully contested core-merits judgments</x:v>
      </x:c>
      <x:c r="B9" s="12" t="n">
        <x:f>COUNTIF('January 2026'!H2:H21,"Yes")</x:f>
        <x:v>0</x:v>
      </x:c>
    </x:row>
    <x:row r="11">
      <x:c r="A11" s="36" t="str">
        <x:v>Assessment</x:v>
      </x:c>
      <x:c r="B11" s="36"/>
      <x:c r="C11" s="36"/>
      <x:c r="D11" s="36"/>
      <x:c r="E11" s="36"/>
      <x:c r="F11" s="36"/>
    </x:row>
    <x:row r="12" ht="52" customHeight="1">
      <x:c r="A12" s="37" t="str">
        <x:v>Observed pattern</x:v>
      </x:c>
      <x:c r="B12" s="14" t="str">
        <x:v>19 of 20 unique O.S. judgments were disposed without a bilateral merits adjudication: 7 ex-parte/unopposed merits, 8 procedural closures, and 4 settlement/consent decrees.</x:v>
      </x:c>
      <x:c r="C12" s="14" t="str"/>
      <x:c r="D12" s="14" t="str"/>
      <x:c r="E12" s="14" t="str"/>
      <x:c r="F12" s="14" t="str"/>
    </x:row>
    <x:row r="13" ht="52" customHeight="1">
      <x:c r="A13" s="37" t="str">
        <x:v>Only bilateral merits judgment</x:v>
      </x:c>
      <x:c r="B13" s="14" t="str">
        <x:v>OS 406/2023 had written pleadings and both sides were heard, but the defendant admitted the Will, co-ownership and no objection to partition; the court mainly resolved proof of the Will and rejected the income claim for lack of evidence.</x:v>
      </x:c>
      <x:c r="C13" s="14" t="str"/>
      <x:c r="D13" s="14" t="str"/>
      <x:c r="E13" s="14" t="str"/>
      <x:c r="F13" s="14" t="str"/>
    </x:row>
    <x:row r="14" ht="52" customHeight="1">
      <x:c r="A14" s="37" t="str">
        <x:v>Strongest defensible metric</x:v>
      </x:c>
      <x:c r="B14" s="14" t="str">
        <x:v>January 2026: 20 unique O.S. judgments; 0 fully contested core-merits judgments.</x:v>
      </x:c>
      <x:c r="C14" s="14" t="str"/>
      <x:c r="D14" s="14" t="str"/>
      <x:c r="E14" s="14" t="str"/>
      <x:c r="F14" s="14" t="str"/>
    </x:row>
    <x:row r="15" ht="52" customHeight="1">
      <x:c r="A15" s="37" t="str">
        <x:v>Excluded proceedings</x:v>
      </x:c>
      <x:c r="B15" s="14" t="str">
        <x:v>EP 51/2023 in OS 993/2019 and RCP 05/2025 are excluded because they are not O.S. judgments.</x:v>
      </x:c>
      <x:c r="C15" s="14" t="str"/>
      <x:c r="D15" s="14" t="str"/>
      <x:c r="E15" s="14" t="str"/>
      <x:c r="F15" s="14" t="str"/>
    </x:row>
    <x:row r="16" ht="52" customHeight="1">
      <x:c r="A16" s="37" t="str">
        <x:v>Upload audit</x:v>
      </x:c>
      <x:c r="B16" s="14" t="str">
        <x:v>25 PDFs reviewed across the January upload sets: 20 unique included O.S. judgments + 2 excluded non-O.S. proceedings + 3 duplicate O.S. uploads.</x:v>
      </x:c>
      <x:c r="C16" s="14" t="str"/>
      <x:c r="D16" s="14" t="str"/>
      <x:c r="E16" s="14" t="str"/>
      <x:c r="F16" s="14" t="str"/>
    </x:row>
  </x:sheetData>
  <x:mergeCells>
    <x:mergeCell ref="A1:F1"/>
    <x:mergeCell ref="A11:F11"/>
    <x:mergeCell ref="B12:F12"/>
    <x:mergeCell ref="B13:F13"/>
    <x:mergeCell ref="B14:F14"/>
    <x:mergeCell ref="B15:F15"/>
    <x:mergeCell ref="B16:F16"/>
  </x:mergeCells>
  <x:pageMargins left="0.7" right="0.7" top="0.75" bottom="0.75" header="0.3" footer="0.3"/>
  <x:drawing xmlns:r="http://schemas.openxmlformats.org/officeDocument/2006/relationships" r:id="Rc009a7f8a5774805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3" hidden="0" customWidth="1"/>
    <x:col min="3" max="3" width="52" hidden="0" customWidth="1"/>
    <x:col min="4" max="4" width="38" hidden="0" customWidth="1"/>
  </x:cols>
  <x:sheetData>
    <x:row r="1">
      <x:c r="A1" s="42" t="str">
        <x:v>Item</x:v>
      </x:c>
      <x:c r="B1" s="42" t="str">
        <x:v>Status</x:v>
      </x:c>
      <x:c r="C1" s="42" t="str">
        <x:v>Reason</x:v>
      </x:c>
      <x:c r="D1" s="42" t="str">
        <x:v>Source</x:v>
      </x:c>
    </x:row>
    <x:row r="2" ht="42" customHeight="1">
      <x:c r="A2" s="14" t="str">
        <x:v>EP 51/2023 in OS 993/2019</x:v>
      </x:c>
      <x:c r="B2" s="14" t="str">
        <x:v>Excluded from O.S. sample</x:v>
      </x:c>
      <x:c r="C2" s="14" t="str">
        <x:v>Execution petition, not an O.S. judgment; dismissed as not pressed</x:v>
      </x:c>
      <x:c r="D2" s="14" t="str">
        <x:v>Unknown-4(3).pdf</x:v>
      </x:c>
    </x:row>
    <x:row r="3" ht="42" customHeight="1">
      <x:c r="A3" s="14" t="str">
        <x:v>RCP 05/2025</x:v>
      </x:c>
      <x:c r="B3" s="14" t="str">
        <x:v>Excluded from O.S. sample</x:v>
      </x:c>
      <x:c r="C3" s="14" t="str">
        <x:v>Rent Control Petition, not an O.S. judgment; dismissed for default</x:v>
      </x:c>
      <x:c r="D3" s="14" t="str">
        <x:v>Unknown(3).pdf</x:v>
      </x:c>
    </x:row>
    <x:row r="4" ht="42" customHeight="1">
      <x:c r="A4" s="14" t="str">
        <x:v>OS 161/2025</x:v>
      </x:c>
      <x:c r="B4" s="14" t="str">
        <x:v>Duplicate upload</x:v>
      </x:c>
      <x:c r="C4" s="14" t="str">
        <x:v>Same judgment appears twice</x:v>
      </x:c>
      <x:c r="D4" s="14" t="str">
        <x:v>Unknown-6(3).pdf and Unknown-7(2).pdf</x:v>
      </x:c>
    </x:row>
    <x:row r="5" ht="42" customHeight="1">
      <x:c r="A5" s="14" t="str">
        <x:v>OS 15/2024</x:v>
      </x:c>
      <x:c r="B5" s="14" t="str">
        <x:v>Duplicate upload</x:v>
      </x:c>
      <x:c r="C5" s="14" t="str">
        <x:v>Same judgment appears twice</x:v>
      </x:c>
      <x:c r="D5" s="14" t="str">
        <x:v>Unknown-10(2).pdf and Unknown-11(2).pdf</x:v>
      </x:c>
    </x:row>
    <x:row r="6" ht="42" customHeight="1">
      <x:c r="A6" s="14" t="str">
        <x:v>OS 150/2025</x:v>
      </x:c>
      <x:c r="B6" s="14" t="str">
        <x:v>Duplicate upload</x:v>
      </x:c>
      <x:c r="C6" s="14" t="str">
        <x:v>Same judgment appears twice</x:v>
      </x:c>
      <x:c r="D6" s="14" t="str">
        <x:v>Unknown-15(2).pdf and Unknown-16(2).pdf</x:v>
      </x:c>
    </x:row>
    <x:row r="7" ht="42" customHeight="1">
      <x:c r="A7" s="14" t="str">
        <x:v>January upload sets</x:v>
      </x:c>
      <x:c r="B7" s="14" t="str">
        <x:v>25 PDFs reviewed</x:v>
      </x:c>
      <x:c r="C7" s="14" t="str">
        <x:v>20 unique included O.S. judgments + 2 excluded non-O.S. proceedings + 3 duplicates</x:v>
      </x:c>
      <x:c r="D7" s="14" t="str">
        <x:v>Current January uploads</x:v>
      </x:c>
    </x:row>
    <x:row r="8" ht="42" customHeight="1">
      <x:c r="A8" s="14" t="str">
        <x:v>January O.S. sample</x:v>
      </x:c>
      <x:c r="B8" s="14" t="str">
        <x:v>20 unique judgments</x:v>
      </x:c>
      <x:c r="C8" s="14" t="str">
        <x:v>Deduplicated and limited to O.S. judgments pronounced in January 2026</x:v>
      </x:c>
      <x:c r="D8" s="14" t="str">
        <x:v>Current January uploads</x:v>
      </x:c>
    </x:row>
  </x:sheetData>
  <x:pageMargins left="0.7" right="0.7" top="0.75" bottom="0.75" header="0.3" footer="0.3"/>
  <x:tableParts count="1">
    <x:tablePart xmlns:r="http://schemas.openxmlformats.org/officeDocument/2006/relationships" r:id="R57c8eaccea594f77"/>
  </x:tableParts>
</x:worksheet>
</file>