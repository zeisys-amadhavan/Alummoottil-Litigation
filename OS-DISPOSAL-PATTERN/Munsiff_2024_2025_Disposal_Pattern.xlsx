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7a46fe31d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-2025 Cases" sheetId="1" r:id="R16084293ca4242d2"/>
    <x:sheet xmlns:r="http://schemas.openxmlformats.org/officeDocument/2006/relationships" name="Summary" sheetId="2" r:id="R4ad1d0d26b76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d28618d82479f" /><Relationship Type="http://schemas.openxmlformats.org/officeDocument/2006/relationships/theme" Target="/xl/theme/theme1.xml" Id="Ra2645dbe2c5543f6" /><Relationship Type="http://schemas.openxmlformats.org/officeDocument/2006/relationships/sharedStrings" Target="/xl/sharedStrings.xml" Id="R57de738cd22d48e0" /><Relationship Type="http://schemas.openxmlformats.org/officeDocument/2006/relationships/worksheet" Target="/xl/worksheets/sheet1.xml" Id="R16084293ca4242d2" /><Relationship Type="http://schemas.openxmlformats.org/officeDocument/2006/relationships/worksheet" Target="/xl/worksheets/sheet2.xml" Id="R4ad1d0d26b764782" /></Relationships>
</file>

<file path=xl/tables/table1.xml><?xml version="1.0" encoding="utf-8"?>
<x:table xmlns:x="http://schemas.openxmlformats.org/spreadsheetml/2006/main" id="1" name="RecentCasesTable" displayName="RecentCasesTable" ref="A1:H17" headerRowCount="1" totalsRowCount="0" totalsRowShown="0">
  <x:tableColumns count="8">
    <x:tableColumn id="1" name="Suit"/>
    <x:tableColumn id="2" name="Filed"/>
    <x:tableColumn id="3" name="Judgment Date"/>
    <x:tableColumn id="4" name="Position When Disposed"/>
    <x:tableColumn id="5" name="Result / Basis"/>
    <x:tableColumn id="6" name="Disposition Type"/>
    <x:tableColumn id="7" name="Live Contested Merits Decided?"/>
    <x:tableColumn id="8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c46c3f4df0409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42" hidden="0" customWidth="1"/>
    <x:col min="5" max="5" width="42" hidden="0" customWidth="1"/>
    <x:col min="6" max="6" width="20" hidden="0" customWidth="1"/>
    <x:col min="7" max="7" width="24" hidden="0" customWidth="1"/>
    <x:col min="8" max="8" width="22" hidden="0" customWidth="1"/>
  </x:cols>
  <x:sheetData>
    <x:row r="1" ht="30" customHeight="1">
      <x:c r="A1" s="6" t="str">
        <x:v>Suit</x:v>
      </x:c>
      <x:c r="B1" s="6" t="str">
        <x:v>Filed</x:v>
      </x:c>
      <x:c r="C1" s="6" t="str">
        <x:v>Judgment Date</x:v>
      </x:c>
      <x:c r="D1" s="6" t="str">
        <x:v>Position When Disposed</x:v>
      </x:c>
      <x:c r="E1" s="6" t="str">
        <x:v>Result / Basis</x:v>
      </x:c>
      <x:c r="F1" s="6" t="str">
        <x:v>Disposition Type</x:v>
      </x:c>
      <x:c r="G1" s="6" t="str">
        <x:v>Live Contested Merits Decided?</x:v>
      </x:c>
      <x:c r="H1" s="6" t="str">
        <x:v>Source</x:v>
      </x:c>
    </x:row>
    <x:row r="2" ht="48" customHeight="1">
      <x:c r="A2" s="14" t="str">
        <x:v>OS 21/2024</x:v>
      </x:c>
      <x:c r="B2" s="14" t="str">
        <x:v>15.01.2024</x:v>
      </x:c>
      <x:c r="C2" s="14" t="str">
        <x:v>02.07.2026</x:v>
      </x:c>
      <x:c r="D2" s="14" t="str">
        <x:v>Defendants entered appearance but failed to file written statement; set ex parte</x:v>
      </x:c>
      <x:c r="E2" s="14" t="str">
        <x:v>Decreed on unchallenged oral/documentary evidence</x:v>
      </x:c>
      <x:c r="F2" s="14" t="str">
        <x:v>Ex-parte decree</x:v>
      </x:c>
      <x:c r="G2" s="14" t="str">
        <x:v>No</x:v>
      </x:c>
      <x:c r="H2" s="14" t="str">
        <x:v>Uploaded judgment PDF</x:v>
      </x:c>
    </x:row>
    <x:row r="3" ht="48" customHeight="1">
      <x:c r="A3" s="14" t="str">
        <x:v>OS 27/2024</x:v>
      </x:c>
      <x:c r="B3" s="14" t="str">
        <x:v>18.01.2024</x:v>
      </x:c>
      <x:c r="C3" s="14" t="str">
        <x:v>18.07.2026</x:v>
      </x:c>
      <x:c r="D3" s="14" t="str">
        <x:v>Both sides represented</x:v>
      </x:c>
      <x:c r="E3" s="14" t="str">
        <x:v>Plaint rejected: balance court fee not paid; Order VII Rule 11 CPC</x:v>
      </x:c>
      <x:c r="F3" s="14" t="str">
        <x:v>Procedural closure</x:v>
      </x:c>
      <x:c r="G3" s="14" t="str">
        <x:v>No</x:v>
      </x:c>
      <x:c r="H3" s="14" t="str">
        <x:v>Uploaded judgment PDF</x:v>
      </x:c>
    </x:row>
    <x:row r="4" ht="48" customHeight="1">
      <x:c r="A4" s="14" t="str">
        <x:v>OS 128/2024</x:v>
      </x:c>
      <x:c r="B4" s="14" t="str">
        <x:v>11.04.2024</x:v>
      </x:c>
      <x:c r="C4" s="14" t="str">
        <x:v>30.07.2026</x:v>
      </x:c>
      <x:c r="D4" s="14" t="str">
        <x:v>Defendant appeared but did not file written statement; set ex parte</x:v>
      </x:c>
      <x:c r="E4" s="14" t="str">
        <x:v>Money decree on unchallenged evidence</x:v>
      </x:c>
      <x:c r="F4" s="14" t="str">
        <x:v>Ex-parte decree</x:v>
      </x:c>
      <x:c r="G4" s="14" t="str">
        <x:v>No</x:v>
      </x:c>
      <x:c r="H4" s="14" t="str">
        <x:v>Uploaded judgment PDF</x:v>
      </x:c>
    </x:row>
    <x:row r="5" ht="48" customHeight="1">
      <x:c r="A5" s="14" t="str">
        <x:v>OS 196/2024</x:v>
      </x:c>
      <x:c r="B5" s="14" t="str">
        <x:v>05.07.2024</x:v>
      </x:c>
      <x:c r="C5" s="14" t="str">
        <x:v>18.07.2026</x:v>
      </x:c>
      <x:c r="D5" s="14" t="str">
        <x:v>Plaintiff represented</x:v>
      </x:c>
      <x:c r="E5" s="14" t="str">
        <x:v>Dismissed for default: paper publication not produced as directed</x:v>
      </x:c>
      <x:c r="F5" s="14" t="str">
        <x:v>Procedural closure</x:v>
      </x:c>
      <x:c r="G5" s="14" t="str">
        <x:v>No</x:v>
      </x:c>
      <x:c r="H5" s="14" t="str">
        <x:v>Uploaded judgment PDF</x:v>
      </x:c>
    </x:row>
    <x:row r="6" ht="48" customHeight="1">
      <x:c r="A6" s="14" t="str">
        <x:v>OS 197/2024</x:v>
      </x:c>
      <x:c r="B6" s="14" t="str">
        <x:v>05.07.2024</x:v>
      </x:c>
      <x:c r="C6" s="14" t="str">
        <x:v>14.07.2026</x:v>
      </x:c>
      <x:c r="D6" s="14" t="str">
        <x:v>Defendant entered appearance but failed to file written statement; set ex parte</x:v>
      </x:c>
      <x:c r="E6" s="14" t="str">
        <x:v>Money decree after plaintiff evidence</x:v>
      </x:c>
      <x:c r="F6" s="14" t="str">
        <x:v>Ex-parte decree</x:v>
      </x:c>
      <x:c r="G6" s="14" t="str">
        <x:v>No</x:v>
      </x:c>
      <x:c r="H6" s="14" t="str">
        <x:v>Uploaded judgment PDF</x:v>
      </x:c>
    </x:row>
    <x:row r="7" ht="48" customHeight="1">
      <x:c r="A7" s="14" t="str">
        <x:v>OS 203/2024</x:v>
      </x:c>
      <x:c r="B7" s="14" t="str">
        <x:v>09.07.2024</x:v>
      </x:c>
      <x:c r="C7" s="14" t="str">
        <x:v>15.07.2026</x:v>
      </x:c>
      <x:c r="D7" s="14" t="str">
        <x:v>Defendants entered appearance but failed to file written statement; set ex parte</x:v>
      </x:c>
      <x:c r="E7" s="14" t="str">
        <x:v>Money decree after plaintiff evidence</x:v>
      </x:c>
      <x:c r="F7" s="14" t="str">
        <x:v>Ex-parte decree</x:v>
      </x:c>
      <x:c r="G7" s="14" t="str">
        <x:v>No</x:v>
      </x:c>
      <x:c r="H7" s="14" t="str">
        <x:v>Uploaded judgment PDF</x:v>
      </x:c>
    </x:row>
    <x:row r="8" ht="48" customHeight="1">
      <x:c r="A8" s="14" t="str">
        <x:v>OS 295/2024</x:v>
      </x:c>
      <x:c r="B8" s="14" t="str">
        <x:v>10.10.2024</x:v>
      </x:c>
      <x:c r="C8" s="14" t="str">
        <x:v>10.07.2026</x:v>
      </x:c>
      <x:c r="D8" s="14" t="str">
        <x:v>Defendant entered appearance but failed to file written statement; set ex parte</x:v>
      </x:c>
      <x:c r="E8" s="14" t="str">
        <x:v>Partition preliminary decree on unchallenged evidence</x:v>
      </x:c>
      <x:c r="F8" s="14" t="str">
        <x:v>Ex-parte decree</x:v>
      </x:c>
      <x:c r="G8" s="14" t="str">
        <x:v>No</x:v>
      </x:c>
      <x:c r="H8" s="14" t="str">
        <x:v>Uploaded judgment PDF</x:v>
      </x:c>
    </x:row>
    <x:row r="9" ht="48" customHeight="1">
      <x:c r="A9" s="14" t="str">
        <x:v>OS 328/2024</x:v>
      </x:c>
      <x:c r="B9" s="14" t="str">
        <x:v>08.11.2024</x:v>
      </x:c>
      <x:c r="C9" s="14" t="str">
        <x:v>28.07.2026</x:v>
      </x:c>
      <x:c r="D9" s="14" t="str">
        <x:v>Plaintiff counsel submitted no instruction; notice to plaintiff returned unserved; no alternate address</x:v>
      </x:c>
      <x:c r="E9" s="14" t="str">
        <x:v>Dismissed for default: court found plaintiff not interested in proceeding</x:v>
      </x:c>
      <x:c r="F9" s="14" t="str">
        <x:v>Procedural closure</x:v>
      </x:c>
      <x:c r="G9" s="14" t="str">
        <x:v>No</x:v>
      </x:c>
      <x:c r="H9" s="14" t="str">
        <x:v>Uploaded judgment PDF</x:v>
      </x:c>
    </x:row>
    <x:row r="10" ht="48" customHeight="1">
      <x:c r="A10" s="14" t="str">
        <x:v>OS 336/2024</x:v>
      </x:c>
      <x:c r="B10" s="14" t="str">
        <x:v>15.11.2024</x:v>
      </x:c>
      <x:c r="C10" s="14" t="str">
        <x:v>10.07.2026</x:v>
      </x:c>
      <x:c r="D10" s="14" t="str">
        <x:v>Plaintiff represented</x:v>
      </x:c>
      <x:c r="E10" s="14" t="str">
        <x:v>Dismissed for default: paper publication not produced</x:v>
      </x:c>
      <x:c r="F10" s="14" t="str">
        <x:v>Procedural closure</x:v>
      </x:c>
      <x:c r="G10" s="14" t="str">
        <x:v>No</x:v>
      </x:c>
      <x:c r="H10" s="14" t="str">
        <x:v>Uploaded judgment PDF</x:v>
      </x:c>
    </x:row>
    <x:row r="11" ht="48" customHeight="1">
      <x:c r="A11" s="14" t="str">
        <x:v>OS 44/2025</x:v>
      </x:c>
      <x:c r="B11" s="14" t="str">
        <x:v>03.02.2025</x:v>
      </x:c>
      <x:c r="C11" s="14" t="str">
        <x:v>01.07.2026</x:v>
      </x:c>
      <x:c r="D11" s="14" t="str">
        <x:v>Plaintiff represented; defendant ex parte</x:v>
      </x:c>
      <x:c r="E11" s="14" t="str">
        <x:v>Dismissed as not pressed; memo filed</x:v>
      </x:c>
      <x:c r="F11" s="14" t="str">
        <x:v>Procedural closure</x:v>
      </x:c>
      <x:c r="G11" s="14" t="str">
        <x:v>No</x:v>
      </x:c>
      <x:c r="H11" s="14" t="str">
        <x:v>Uploaded judgment PDF</x:v>
      </x:c>
    </x:row>
    <x:row r="12" ht="48" customHeight="1">
      <x:c r="A12" s="14" t="str">
        <x:v>OS 101/2025</x:v>
      </x:c>
      <x:c r="B12" s="14" t="str">
        <x:v>24.03.2025</x:v>
      </x:c>
      <x:c r="C12" s="14" t="str">
        <x:v>25.07.2026</x:v>
      </x:c>
      <x:c r="D12" s="14" t="str">
        <x:v>Defendant failed to appear; set ex parte</x:v>
      </x:c>
      <x:c r="E12" s="14" t="str">
        <x:v>Money decree on unchallenged evidence</x:v>
      </x:c>
      <x:c r="F12" s="14" t="str">
        <x:v>Ex-parte decree</x:v>
      </x:c>
      <x:c r="G12" s="14" t="str">
        <x:v>No</x:v>
      </x:c>
      <x:c r="H12" s="14" t="str">
        <x:v>Uploaded judgment PDF</x:v>
      </x:c>
    </x:row>
    <x:row r="13" ht="48" customHeight="1">
      <x:c r="A13" s="14" t="str">
        <x:v>OS 252/2025</x:v>
      </x:c>
      <x:c r="B13" s="14" t="str">
        <x:v>14.07.2025</x:v>
      </x:c>
      <x:c r="C13" s="14" t="str">
        <x:v>06.07.2026</x:v>
      </x:c>
      <x:c r="D13" s="14" t="str">
        <x:v>Plaintiff represented; defendant ex parte</x:v>
      </x:c>
      <x:c r="E13" s="14" t="str">
        <x:v>Plaint rejected: BCF not paid; Order VII Rule 11 CPC</x:v>
      </x:c>
      <x:c r="F13" s="14" t="str">
        <x:v>Procedural closure</x:v>
      </x:c>
      <x:c r="G13" s="14" t="str">
        <x:v>No</x:v>
      </x:c>
      <x:c r="H13" s="14" t="str">
        <x:v>Uploaded judgment PDF</x:v>
      </x:c>
    </x:row>
    <x:row r="14" ht="48" customHeight="1">
      <x:c r="A14" s="14" t="str">
        <x:v>OS 262/2025</x:v>
      </x:c>
      <x:c r="B14" s="14" t="str">
        <x:v>29.07.2025</x:v>
      </x:c>
      <x:c r="C14" s="14" t="str">
        <x:v>31.07.2026</x:v>
      </x:c>
      <x:c r="D14" s="14" t="str">
        <x:v>Plaintiff absent; no representation; defendant ex parte</x:v>
      </x:c>
      <x:c r="E14" s="14" t="str">
        <x:v>Dismissed for default: evidence not adduced despite repeated opportunities</x:v>
      </x:c>
      <x:c r="F14" s="14" t="str">
        <x:v>Procedural closure</x:v>
      </x:c>
      <x:c r="G14" s="14" t="str">
        <x:v>No</x:v>
      </x:c>
      <x:c r="H14" s="14" t="str">
        <x:v>Uploaded judgment PDF</x:v>
      </x:c>
    </x:row>
    <x:row r="15" ht="48" customHeight="1">
      <x:c r="A15" s="14" t="str">
        <x:v>OS 283/2025</x:v>
      </x:c>
      <x:c r="B15" s="14" t="str">
        <x:v>12.08.2025</x:v>
      </x:c>
      <x:c r="C15" s="14" t="str">
        <x:v>10.07.2026</x:v>
      </x:c>
      <x:c r="D15" s="14" t="str">
        <x:v>Defendant failed to appear; set ex parte</x:v>
      </x:c>
      <x:c r="E15" s="14" t="str">
        <x:v>Partition preliminary decree on unchallenged evidence</x:v>
      </x:c>
      <x:c r="F15" s="14" t="str">
        <x:v>Ex-parte decree</x:v>
      </x:c>
      <x:c r="G15" s="14" t="str">
        <x:v>No</x:v>
      </x:c>
      <x:c r="H15" s="14" t="str">
        <x:v>Uploaded judgment PDF</x:v>
      </x:c>
    </x:row>
    <x:row r="16" ht="48" customHeight="1">
      <x:c r="A16" s="14" t="str">
        <x:v>OS 349/2025</x:v>
      </x:c>
      <x:c r="B16" s="14" t="str">
        <x:v>14.10.2025</x:v>
      </x:c>
      <x:c r="C16" s="14" t="str">
        <x:v>25.07.2026</x:v>
      </x:c>
      <x:c r="D16" s="14" t="str">
        <x:v>Defendant failed to appear; set ex parte</x:v>
      </x:c>
      <x:c r="E16" s="14" t="str">
        <x:v>Money decree on unchallenged evidence</x:v>
      </x:c>
      <x:c r="F16" s="14" t="str">
        <x:v>Ex-parte decree</x:v>
      </x:c>
      <x:c r="G16" s="14" t="str">
        <x:v>No</x:v>
      </x:c>
      <x:c r="H16" s="14" t="str">
        <x:v>Uploaded judgment PDF</x:v>
      </x:c>
    </x:row>
    <x:row r="17" ht="48" customHeight="1">
      <x:c r="A17" s="14" t="str">
        <x:v>OS 124/2024</x:v>
      </x:c>
      <x:c r="B17" s="14" t="str">
        <x:v>09.04.2026 (as stated in PDF; anomalous for 2024 suit number)</x:v>
      </x:c>
      <x:c r="C17" s="14" t="str">
        <x:v>06.07.2026</x:v>
      </x:c>
      <x:c r="D17" s="14" t="str">
        <x:v>Both sides represented</x:v>
      </x:c>
      <x:c r="E17" s="14" t="str">
        <x:v>Dismissed as not pressed; memo filed</x:v>
      </x:c>
      <x:c r="F17" s="14" t="str">
        <x:v>Procedural closure</x:v>
      </x:c>
      <x:c r="G17" s="14" t="str">
        <x:v>No</x:v>
      </x:c>
      <x:c r="H17" s="14" t="str">
        <x:v>Uploaded judgment PDF</x:v>
      </x:c>
    </x:row>
  </x:sheetData>
  <x:conditionalFormatting sqref="F2:F17">
    <x:cfRule type="expression" dxfId="0" priority="1">
      <x:formula>F2="Ex-parte decree"</x:formula>
    </x:cfRule>
    <x:cfRule type="expression" dxfId="1" priority="2">
      <x:formula>F2="Procedural closure"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c46c3f4df040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18" t="str">
        <x:v>Munsiff Recent O.S. Disposal Pattern — 2024/2025 Filed Cases</x:v>
      </x:c>
      <x:c r="B1" s="18"/>
      <x:c r="C1" s="18"/>
      <x:c r="D1" s="18"/>
    </x:row>
    <x:row r="3">
      <x:c r="A3" s="28" t="str">
        <x:v>Metric</x:v>
      </x:c>
      <x:c r="B3" s="28" t="str">
        <x:v>Count</x:v>
      </x:c>
    </x:row>
    <x:row r="4">
      <x:c r="A4" s="12" t="str">
        <x:v>Total reviewed</x:v>
      </x:c>
      <x:c r="B4" s="12" t="n">
        <x:f>COUNTA('2024-2025 Cases'!A2:A17)</x:f>
        <x:v>16</x:v>
      </x:c>
    </x:row>
    <x:row r="5">
      <x:c r="A5" s="12" t="str">
        <x:v>Ex-parte decrees</x:v>
      </x:c>
      <x:c r="B5" s="12" t="n">
        <x:f>COUNTIF('2024-2025 Cases'!F2:F17,"Ex-parte decree")</x:f>
        <x:v>8</x:v>
      </x:c>
    </x:row>
    <x:row r="6">
      <x:c r="A6" s="12" t="str">
        <x:v>Procedural closures</x:v>
      </x:c>
      <x:c r="B6" s="12" t="n">
        <x:f>COUNTIF('2024-2025 Cases'!F2:F17,"Procedural closure")</x:f>
        <x:v>8</x:v>
      </x:c>
    </x:row>
    <x:row r="7">
      <x:c r="A7" s="12" t="str">
        <x:v>Live contested merits decisions</x:v>
      </x:c>
      <x:c r="B7" s="12" t="n">
        <x:f>COUNTIF('2024-2025 Cases'!G2:G17,"Yes")</x:f>
        <x:v>0</x:v>
      </x:c>
    </x:row>
    <x:row r="9">
      <x:c r="A9" s="36" t="str">
        <x:v>Assessment Note</x:v>
      </x:c>
      <x:c r="B9" s="36"/>
      <x:c r="C9" s="36"/>
      <x:c r="D9" s="36"/>
    </x:row>
    <x:row r="10" ht="42" customHeight="1">
      <x:c r="A10" s="37" t="str">
        <x:v>Observed pattern</x:v>
      </x:c>
      <x:c r="B10" s="14" t="str">
        <x:v>All 16 reviewed 2024–2025 suits were disposed without deciding a live two-sided merits contest.</x:v>
      </x:c>
      <x:c r="C10" s="14" t="str"/>
      <x:c r="D10" s="14" t="str"/>
    </x:row>
    <x:row r="11" ht="42" customHeight="1">
      <x:c r="A11" s="37" t="str">
        <x:v>Composition</x:v>
      </x:c>
      <x:c r="B11" s="14" t="str">
        <x:v>8 ex-parte decrees; 8 procedural closures; 0 live contested merits decisions.</x:v>
      </x:c>
      <x:c r="C11" s="14" t="str"/>
      <x:c r="D11" s="14" t="str"/>
    </x:row>
    <x:row r="12" ht="42" customHeight="1">
      <x:c r="A12" s="37" t="str">
        <x:v>Caution</x:v>
      </x:c>
      <x:c r="B12" s="14" t="str">
        <x:v>This dataset shows a disposal pattern. It does not by itself prove bias, refusal of justice, or a legally sufficient ground for transfer.</x:v>
      </x:c>
      <x:c r="C12" s="14" t="str"/>
      <x:c r="D12" s="14" t="str"/>
    </x:row>
  </x:sheetData>
  <x:mergeCells>
    <x:mergeCell ref="A1:D1"/>
    <x:mergeCell ref="A9:D9"/>
    <x:mergeCell ref="B10:D10"/>
    <x:mergeCell ref="B11:D11"/>
    <x:mergeCell ref="B12:D12"/>
  </x:mergeCells>
  <x:pageMargins left="0.7" right="0.7" top="0.75" bottom="0.75" header="0.3" footer="0.3"/>
</x:worksheet>
</file>